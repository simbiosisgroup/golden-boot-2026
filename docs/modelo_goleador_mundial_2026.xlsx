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fd7a24e86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7a3d85f8d5874776"/>
    <x:sheet xmlns:r="http://schemas.openxmlformats.org/officeDocument/2006/relationships" name="01_Metodo" sheetId="2" r:id="Rc4c81a845f6046ba"/>
    <x:sheet xmlns:r="http://schemas.openxmlformats.org/officeDocument/2006/relationships" name="02_Inputs" sheetId="3" r:id="Rd32e0918860f498d"/>
    <x:sheet xmlns:r="http://schemas.openxmlformats.org/officeDocument/2006/relationships" name="03_Selecciones" sheetId="4" r:id="Rd17d95b6733e49a0"/>
    <x:sheet xmlns:r="http://schemas.openxmlformats.org/officeDocument/2006/relationships" name="04_Jugadores" sheetId="5" r:id="Re9e5d35c558247c8"/>
    <x:sheet xmlns:r="http://schemas.openxmlformats.org/officeDocument/2006/relationships" name="05_Fuentes" sheetId="6" r:id="R2f70579c009f477e"/>
    <x:sheet xmlns:r="http://schemas.openxmlformats.org/officeDocument/2006/relationships" name="06_Diccionario" sheetId="7" r:id="Rcdcc7bb38478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"/>
  </x:numFmts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sz val="11"/>
      <x:color rgb="78350F"/>
      <x:name val="Carlito"/>
    </x:font>
    <x:font>
      <x:b/>
      <x:sz val="11"/>
      <x:name val="Carlito"/>
    </x:font>
    <x:font>
      <x:sz val="8"/>
      <x:color rgb="6B728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4E78"/>
      </x:patternFill>
    </x:fill>
    <x:fill>
      <x:patternFill patternType="solid">
        <x:fgColor rgb="FEF3C7"/>
      </x:patternFill>
    </x:fill>
    <x:fill>
      <x:patternFill patternType="solid">
        <x:fgColor rgb="F9FAFB"/>
      </x:patternFill>
    </x:fill>
    <x:fill>
      <x:patternFill patternType="solid">
        <x:fgColor rgb="EEF2FF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d178ddc0a44f4" /><Relationship Type="http://schemas.openxmlformats.org/officeDocument/2006/relationships/theme" Target="/xl/theme/theme1.xml" Id="R6aa995e4f0cb4425" /><Relationship Type="http://schemas.openxmlformats.org/officeDocument/2006/relationships/sharedStrings" Target="/xl/sharedStrings.xml" Id="R1e7c20ca95714733" /><Relationship Type="http://schemas.openxmlformats.org/officeDocument/2006/relationships/worksheet" Target="/xl/worksheets/sheet1.xml" Id="R7a3d85f8d5874776" /><Relationship Type="http://schemas.openxmlformats.org/officeDocument/2006/relationships/worksheet" Target="/xl/worksheets/sheet2.xml" Id="Rc4c81a845f6046ba" /><Relationship Type="http://schemas.openxmlformats.org/officeDocument/2006/relationships/worksheet" Target="/xl/worksheets/sheet3.xml" Id="Rd32e0918860f498d" /><Relationship Type="http://schemas.openxmlformats.org/officeDocument/2006/relationships/worksheet" Target="/xl/worksheets/sheet4.xml" Id="Rd17d95b6733e49a0" /><Relationship Type="http://schemas.openxmlformats.org/officeDocument/2006/relationships/worksheet" Target="/xl/worksheets/sheet5.xml" Id="Re9e5d35c558247c8" /><Relationship Type="http://schemas.openxmlformats.org/officeDocument/2006/relationships/worksheet" Target="/xl/worksheets/sheet6.xml" Id="R2f70579c009f477e" /><Relationship Type="http://schemas.openxmlformats.org/officeDocument/2006/relationships/worksheet" Target="/xl/worksheets/sheet7.xml" Id="Rcdcc7bb3847845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281570e6af492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EG total</c:v>
          </c:tx>
          <c:cat>
            <c:strRef>
              <c:f>'00_Resumen'!$B$10:$B$19</c:f>
              <c:strCache>
                <c:ptCount val="0"/>
              </c:strCache>
            </c:strRef>
          </c:cat>
          <c:val>
            <c:numRef>
              <c:f>'00_Resumen'!$D$10:$D$19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281570e6af49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Top10Resumen" displayName="Top10Resumen" ref="A9:H19" headerRowCount="1">
  <x:tableColumns count="8">
    <x:tableColumn id="1" name="Rank"/>
    <x:tableColumn id="2" name="Jugador"/>
    <x:tableColumn id="3" name="Selección"/>
    <x:tableColumn id="4" name="EG total"/>
    <x:tableColumn id="5" name="Tasa / 90"/>
    <x:tableColumn id="6" name="Partidos esp."/>
    <x:tableColumn id="7" name="Min/partido"/>
    <x:tableColumn id="8" name="Notas"/>
  </x:tableColumns>
  <x:tableStyleInfo name="TableStyleMedium2" showRowStripes="1"/>
</x:table>
</file>

<file path=xl/tables/table2.xml><?xml version="1.0" encoding="utf-8"?>
<x:table xmlns:x="http://schemas.openxmlformats.org/spreadsheetml/2006/main" id="1" name="TablaSelecciones" displayName="TablaSelecciones" ref="A5:I13" headerRowCount="1">
  <x:tableColumns count="9">
    <x:tableColumn id="1" name="Selección"/>
    <x:tableColumn id="2" name="Grupo"/>
    <x:tableColumn id="3" name="Rivales"/>
    <x:tableColumn id="4" name="Ranking FIFA ref."/>
    <x:tableColumn id="5" name="Partidos esperados"/>
    <x:tableColumn id="6" name="Ajuste ataque"/>
    <x:tableColumn id="7" name="Ajuste grupo"/>
    <x:tableColumn id="8" name="Fuente grupos"/>
    <x:tableColumn id="9" name="Notas"/>
  </x:tableColumns>
  <x:tableStyleInfo name="TableStyleMedium2" showRowStripes="1"/>
</x:table>
</file>

<file path=xl/tables/table3.xml><?xml version="1.0" encoding="utf-8"?>
<x:table xmlns:x="http://schemas.openxmlformats.org/spreadsheetml/2006/main" id="4" name="TablaJugadores" displayName="TablaJugadores" ref="A5:AI18" headerRowCount="1">
  <x:tableColumns count="35">
    <x:tableColumn id="1" name="Jugador"/>
    <x:tableColumn id="2" name="Selección"/>
    <x:tableColumn id="3" name="Posición"/>
    <x:tableColumn id="4" name="Club"/>
    <x:tableColumn id="5" name="Competencia fuente"/>
    <x:tableColumn id="6" name="Fuente plantilla FIFA"/>
    <x:tableColumn id="7" name="Fuente stats liga"/>
    <x:tableColumn id="8" name="Goles liga"/>
    <x:tableColumn id="9" name="Partidos liga"/>
    <x:tableColumn id="10" name="Minutos liga"/>
    <x:tableColumn id="11" name="Goles liga / 90"/>
    <x:tableColumn id="12" name="Goles continentales"/>
    <x:tableColumn id="13" name="Partidos continentales"/>
    <x:tableColumn id="14" name="Minutos continentales"/>
    <x:tableColumn id="15" name="Goles cont. / 90"/>
    <x:tableColumn id="16" name="xG/npxG por 90 (opcional)"/>
    <x:tableColumn id="17" name="Goles selección recientes"/>
    <x:tableColumn id="18" name="Partidos selección recientes"/>
    <x:tableColumn id="19" name="Goles sel. / partido"/>
    <x:tableColumn id="20" name="Confianza rol penales (0-1)"/>
    <x:tableColumn id="21" name="Conversión penales (0-1)"/>
    <x:tableColumn id="22" name="Penales equipo esperados"/>
    <x:tableColumn id="23" name="Partidos esperados equipo"/>
    <x:tableColumn id="24" name="Minutos esperados / partido"/>
    <x:tableColumn id="25" name="Ajuste ataque equipo"/>
    <x:tableColumn id="26" name="Ajuste grupo"/>
    <x:tableColumn id="27" name="Tasa ponderada / 90"/>
    <x:tableColumn id="28" name="EG juego abierto"/>
    <x:tableColumn id="29" name="EG penales"/>
    <x:tableColumn id="30" name="EG total"/>
    <x:tableColumn id="31" name="Ranking modelo"/>
    <x:tableColumn id="32" name="Calidad del dato"/>
    <x:tableColumn id="33" name="Notas"/>
    <x:tableColumn id="34" name="Fuente extra URL"/>
    <x:tableColumn id="35" name="Chequeos / supuestos"/>
  </x:tableColumns>
  <x:tableStyleInfo name="TableStyleMedium2" showRowStripes="1"/>
</x:table>
</file>

<file path=xl/tables/table4.xml><?xml version="1.0" encoding="utf-8"?>
<x:table xmlns:x="http://schemas.openxmlformats.org/spreadsheetml/2006/main" id="2" name="TablaFuentes" displayName="TablaFuentes" ref="A3:D21" headerRowCount="1">
  <x:tableColumns count="4">
    <x:tableColumn id="1" name="Organización"/>
    <x:tableColumn id="2" name="Dato"/>
    <x:tableColumn id="3" name="URL"/>
    <x:tableColumn id="4" name="Uso en el modelo"/>
  </x:tableColumns>
  <x:tableStyleInfo name="TableStyleMedium2" showRowStripes="1"/>
</x:table>
</file>

<file path=xl/tables/table5.xml><?xml version="1.0" encoding="utf-8"?>
<x:table xmlns:x="http://schemas.openxmlformats.org/spreadsheetml/2006/main" id="3" name="TablaDiccionario" displayName="TablaDiccionario" ref="A3:D13" headerRowCount="1">
  <x:tableColumns count="4">
    <x:tableColumn id="1" name="Campo"/>
    <x:tableColumn id="2" name="Tipo"/>
    <x:tableColumn id="3" name="Definición"/>
    <x:tableColumn id="4" name="Comentario de 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ade751a0fa42a3" /><Relationship Type="http://schemas.openxmlformats.org/officeDocument/2006/relationships/table" Target="/xl/tables/table1.xml" Id="Re4d1179217604f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8ef865ffb50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4a72f4b0aa740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5df17df02e749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47d090d750645f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24" customHeight="1">
      <x:c r="A1" s="5" t="str">
        <x:v>Predicción inicial — Bota de Oro Mundial 2026</x:v>
      </x:c>
    </x:row>
    <x:row r="2">
      <x:c r="A2" s="11" t="str">
        <x:v>Este dashboard toma datos verificados disponibles al 09-jun-2026 y supuestos editables de partidos/minutos/penales. No es una certeza ni una probabilidad final: es un ranking de goles esperados bajo hipótesis explícitas.</x:v>
      </x:c>
    </x:row>
    <x:row r="5">
      <x:c r="A5" s="54" t="str">
        <x:v>Fecha de corte</x:v>
      </x:c>
      <x:c r="B5" s="54" t="str">
        <x:v>2026-06-09</x:v>
      </x:c>
      <x:c r="C5" s="54"/>
      <x:c r="D5" s="54" t="str">
        <x:v>Fuente plantillas</x:v>
      </x:c>
      <x:c r="E5" s="54" t="str">
        <x:v>Ver 05_Fuentes / FIFA Squad List</x:v>
      </x:c>
      <x:c r="G5" s="60" t="str">
        <x:v>URL plantilla FIFA</x:v>
      </x:c>
      <x:c r="H5" s="60" t="str">
        <x:v>https://fdp.fifa.org/assetspublic/ce281/pdf/SquadLists-English.pdf</x:v>
      </x:c>
    </x:row>
    <x:row r="6">
      <x:c r="A6" s="54" t="str">
        <x:v>Candidatos cargados</x:v>
      </x:c>
      <x:c r="B6" s="54" t="n">
        <x:v>13</x:v>
      </x:c>
      <x:c r="C6" s="54"/>
      <x:c r="D6" s="54" t="str">
        <x:v>Regla premio</x:v>
      </x:c>
      <x:c r="E6" s="54" t="str">
        <x:v>Goles; desempate asistencias y luego menos minutos</x:v>
      </x:c>
      <x:c r="G6" s="60" t="str">
        <x:v>URL reglamento</x:v>
      </x:c>
      <x:c r="H6" s="60" t="str">
        <x:v>https://digitalhub.fifa.com/m/3c932b4d143867b2/original/FIFA-World-Cup-2026-Regulations_EN.pdf</x:v>
      </x:c>
    </x:row>
    <x:row r="9">
      <x:c r="A9" s="18" t="str">
        <x:v>Rank</x:v>
      </x:c>
      <x:c r="B9" s="18" t="str">
        <x:v>Jugador</x:v>
      </x:c>
      <x:c r="C9" s="18" t="str">
        <x:v>Selección</x:v>
      </x:c>
      <x:c r="D9" s="18" t="str">
        <x:v>EG total</x:v>
      </x:c>
      <x:c r="E9" s="18" t="str">
        <x:v>Tasa / 90</x:v>
      </x:c>
      <x:c r="F9" s="18" t="str">
        <x:v>Partidos esp.</x:v>
      </x:c>
      <x:c r="G9" s="18" t="str">
        <x:v>Min/partido</x:v>
      </x:c>
      <x:c r="H9" s="18" t="str">
        <x:v>Notas</x:v>
      </x:c>
    </x:row>
    <x:row r="10">
      <x:c r="A10" s="24" t="n">
        <x:v>1</x:v>
      </x:c>
      <x:c r="B10" s="24" t="str">
        <x:f>IFERROR(INDEX('04_Jugadores'!$A$6:$A$18,MATCH(A10,'04_Jugadores'!$AE$6:$AE$18,0)),"")</x:f>
        <x:v>Harry Kane</x:v>
      </x:c>
      <x:c r="C10" s="24" t="str">
        <x:f>IFERROR(INDEX('04_Jugadores'!$B$6:$B$18,MATCH(A10,'04_Jugadores'!$AE$6:$AE$18,0)),"")</x:f>
        <x:v>England</x:v>
      </x:c>
      <x:c r="D10" s="40" t="n">
        <x:f>IFERROR(INDEX('04_Jugadores'!$AD$6:$AD$18,MATCH(A10,'04_Jugadores'!$AE$6:$AE$18,0)),"")</x:f>
        <x:v>8.534678152814926</x:v>
      </x:c>
      <x:c r="E10" s="40" t="n">
        <x:f>IFERROR(INDEX('04_Jugadores'!$AA$6:$AA$18,MATCH(A10,'04_Jugadores'!$AE$6:$AE$18,0)),"")</x:f>
        <x:v>1.131159163417228</x:v>
      </x:c>
      <x:c r="F10" s="40" t="n">
        <x:f>IFERROR(INDEX('04_Jugadores'!$W$6:$W$18,MATCH(A10,'04_Jugadores'!$AE$6:$AE$18,0)),"")</x:f>
        <x:v>6</x:v>
      </x:c>
      <x:c r="G10" s="40" t="n">
        <x:f>IFERROR(INDEX('04_Jugadores'!$X$6:$X$18,MATCH(A10,'04_Jugadores'!$AE$6:$AE$18,0)),"")</x:f>
        <x:v>88</x:v>
      </x:c>
      <x:c r="H10" s="24" t="str">
        <x:f>IFERROR(INDEX('04_Jugadores'!$AG$6:$AG$18,MATCH(A10,'04_Jugadores'!$AE$6:$AE$18,0)),"")</x:f>
        <x:v>Penales y titularidad muy fuertes; minutos UCL sin cargar.</x:v>
      </x:c>
    </x:row>
    <x:row r="11">
      <x:c r="A11" s="24" t="n">
        <x:v>2</x:v>
      </x:c>
      <x:c r="B11" s="24" t="str">
        <x:f>IFERROR(INDEX('04_Jugadores'!$A$6:$A$18,MATCH(A11,'04_Jugadores'!$AE$6:$AE$18,0)),"")</x:f>
        <x:v>Kylian Mbappé</x:v>
      </x:c>
      <x:c r="C11" s="24" t="str">
        <x:f>IFERROR(INDEX('04_Jugadores'!$B$6:$B$18,MATCH(A11,'04_Jugadores'!$AE$6:$AE$18,0)),"")</x:f>
        <x:v>France</x:v>
      </x:c>
      <x:c r="D11" s="40" t="n">
        <x:f>IFERROR(INDEX('04_Jugadores'!$AD$6:$AD$18,MATCH(A11,'04_Jugadores'!$AE$6:$AE$18,0)),"")</x:f>
        <x:v>7.885036184210527</x:v>
      </x:c>
      <x:c r="E11" s="40" t="n">
        <x:f>IFERROR(INDEX('04_Jugadores'!$AA$6:$AA$18,MATCH(A11,'04_Jugadores'!$AE$6:$AE$18,0)),"")</x:f>
        <x:v>1.0841295346661586</x:v>
      </x:c>
      <x:c r="F11" s="40" t="n">
        <x:f>IFERROR(INDEX('04_Jugadores'!$W$6:$W$18,MATCH(A11,'04_Jugadores'!$AE$6:$AE$18,0)),"")</x:f>
        <x:v>6.2</x:v>
      </x:c>
      <x:c r="G11" s="40" t="n">
        <x:f>IFERROR(INDEX('04_Jugadores'!$X$6:$X$18,MATCH(A11,'04_Jugadores'!$AE$6:$AE$18,0)),"")</x:f>
        <x:v>85</x:v>
      </x:c>
      <x:c r="H11" s="24" t="str">
        <x:f>IFERROR(INDEX('04_Jugadores'!$AG$6:$AG$18,MATCH(A11,'04_Jugadores'!$AE$6:$AE$18,0)),"")</x:f>
        <x:v>Base club muy fuerte; confirmar penales Francia.</x:v>
      </x:c>
    </x:row>
    <x:row r="12">
      <x:c r="A12" s="24" t="n">
        <x:v>3</x:v>
      </x:c>
      <x:c r="B12" s="24" t="str">
        <x:f>IFERROR(INDEX('04_Jugadores'!$A$6:$A$18,MATCH(A12,'04_Jugadores'!$AE$6:$AE$18,0)),"")</x:f>
        <x:v>Cristiano Ronaldo</x:v>
      </x:c>
      <x:c r="C12" s="24" t="str">
        <x:f>IFERROR(INDEX('04_Jugadores'!$B$6:$B$18,MATCH(A12,'04_Jugadores'!$AE$6:$AE$18,0)),"")</x:f>
        <x:v>Portugal</x:v>
      </x:c>
      <x:c r="D12" s="40" t="n">
        <x:f>IFERROR(INDEX('04_Jugadores'!$AD$6:$AD$18,MATCH(A12,'04_Jugadores'!$AE$6:$AE$18,0)),"")</x:f>
        <x:v>6.46063504980843</x:v>
      </x:c>
      <x:c r="E12" s="40" t="n">
        <x:f>IFERROR(INDEX('04_Jugadores'!$AA$6:$AA$18,MATCH(A12,'04_Jugadores'!$AE$6:$AE$18,0)),"")</x:f>
        <x:v>0.9655172413793103</x:v>
      </x:c>
      <x:c r="F12" s="40" t="n">
        <x:f>IFERROR(INDEX('04_Jugadores'!$W$6:$W$18,MATCH(A12,'04_Jugadores'!$AE$6:$AE$18,0)),"")</x:f>
        <x:v>5.6</x:v>
      </x:c>
      <x:c r="G12" s="40" t="n">
        <x:f>IFERROR(INDEX('04_Jugadores'!$X$6:$X$18,MATCH(A12,'04_Jugadores'!$AE$6:$AE$18,0)),"")</x:f>
        <x:v>82</x:v>
      </x:c>
      <x:c r="H12" s="24" t="str">
        <x:f>IFERROR(INDEX('04_Jugadores'!$AG$6:$AG$18,MATCH(A12,'04_Jugadores'!$AE$6:$AE$18,0)),"")</x:f>
        <x:v>Datos de liga fiables; ajuste por edad/minutos debe revisarse partido a partido.</x:v>
      </x:c>
    </x:row>
    <x:row r="13">
      <x:c r="A13" s="24" t="n">
        <x:v>4</x:v>
      </x:c>
      <x:c r="B13" s="24" t="str">
        <x:f>IFERROR(INDEX('04_Jugadores'!$A$6:$A$18,MATCH(A13,'04_Jugadores'!$AE$6:$AE$18,0)),"")</x:f>
        <x:v>Lionel Messi</x:v>
      </x:c>
      <x:c r="C13" s="24" t="str">
        <x:f>IFERROR(INDEX('04_Jugadores'!$B$6:$B$18,MATCH(A13,'04_Jugadores'!$AE$6:$AE$18,0)),"")</x:f>
        <x:v>Argentina</x:v>
      </x:c>
      <x:c r="D13" s="40" t="n">
        <x:f>IFERROR(INDEX('04_Jugadores'!$AD$6:$AD$18,MATCH(A13,'04_Jugadores'!$AE$6:$AE$18,0)),"")</x:f>
        <x:v>5.992784191472243</x:v>
      </x:c>
      <x:c r="E13" s="40" t="n">
        <x:f>IFERROR(INDEX('04_Jugadores'!$AA$6:$AA$18,MATCH(A13,'04_Jugadores'!$AE$6:$AE$18,0)),"")</x:f>
        <x:v>0.8688656476267094</x:v>
      </x:c>
      <x:c r="F13" s="40" t="n">
        <x:f>IFERROR(INDEX('04_Jugadores'!$W$6:$W$18,MATCH(A13,'04_Jugadores'!$AE$6:$AE$18,0)),"")</x:f>
        <x:v>6.1</x:v>
      </x:c>
      <x:c r="G13" s="40" t="n">
        <x:f>IFERROR(INDEX('04_Jugadores'!$X$6:$X$18,MATCH(A13,'04_Jugadores'!$AE$6:$AE$18,0)),"")</x:f>
        <x:v>78</x:v>
      </x:c>
      <x:c r="H13" s="24" t="str">
        <x:f>IFERROR(INDEX('04_Jugadores'!$AG$6:$AG$18,MATCH(A13,'04_Jugadores'!$AE$6:$AE$18,0)),"")</x:f>
        <x:v>Modelo castiga minutos; revisar estado físico antes del debut.</x:v>
      </x:c>
    </x:row>
    <x:row r="14">
      <x:c r="A14" s="24" t="n">
        <x:v>5</x:v>
      </x:c>
      <x:c r="B14" s="24" t="str">
        <x:f>IFERROR(INDEX('04_Jugadores'!$A$6:$A$18,MATCH(A14,'04_Jugadores'!$AE$6:$AE$18,0)),"")</x:f>
        <x:v>Lamine Yamal</x:v>
      </x:c>
      <x:c r="C14" s="24" t="str">
        <x:f>IFERROR(INDEX('04_Jugadores'!$B$6:$B$18,MATCH(A14,'04_Jugadores'!$AE$6:$AE$18,0)),"")</x:f>
        <x:v>Spain</x:v>
      </x:c>
      <x:c r="D14" s="40" t="n">
        <x:f>IFERROR(INDEX('04_Jugadores'!$AD$6:$AD$18,MATCH(A14,'04_Jugadores'!$AE$6:$AE$18,0)),"")</x:f>
        <x:v>4.434358620689657</x:v>
      </x:c>
      <x:c r="E14" s="40" t="n">
        <x:f>IFERROR(INDEX('04_Jugadores'!$AA$6:$AA$18,MATCH(A14,'04_Jugadores'!$AE$6:$AE$18,0)),"")</x:f>
        <x:v>0.6366047745358091</x:v>
      </x:c>
      <x:c r="F14" s="40" t="n">
        <x:f>IFERROR(INDEX('04_Jugadores'!$W$6:$W$18,MATCH(A14,'04_Jugadores'!$AE$6:$AE$18,0)),"")</x:f>
        <x:v>6.4</x:v>
      </x:c>
      <x:c r="G14" s="40" t="n">
        <x:f>IFERROR(INDEX('04_Jugadores'!$X$6:$X$18,MATCH(A14,'04_Jugadores'!$AE$6:$AE$18,0)),"")</x:f>
        <x:v>80</x:v>
      </x:c>
      <x:c r="H14" s="24" t="str">
        <x:f>IFERROR(INDEX('04_Jugadores'!$AG$6:$AG$18,MATCH(A14,'04_Jugadores'!$AE$6:$AE$18,0)),"")</x:f>
        <x:v>Grandísimo talento pero no perfil de 9; penales bajos.</x:v>
      </x:c>
    </x:row>
    <x:row r="15">
      <x:c r="A15" s="24" t="n">
        <x:v>6</x:v>
      </x:c>
      <x:c r="B15" s="24" t="str">
        <x:f>IFERROR(INDEX('04_Jugadores'!$A$6:$A$18,MATCH(A15,'04_Jugadores'!$AE$6:$AE$18,0)),"")</x:f>
        <x:v>Erling Haaland</x:v>
      </x:c>
      <x:c r="C15" s="24" t="str">
        <x:f>IFERROR(INDEX('04_Jugadores'!$B$6:$B$18,MATCH(A15,'04_Jugadores'!$AE$6:$AE$18,0)),"")</x:f>
        <x:v>Norway</x:v>
      </x:c>
      <x:c r="D15" s="40" t="n">
        <x:f>IFERROR(INDEX('04_Jugadores'!$AD$6:$AD$18,MATCH(A15,'04_Jugadores'!$AE$6:$AE$18,0)),"")</x:f>
        <x:v>3.8805644072911734</x:v>
      </x:c>
      <x:c r="E15" s="40" t="n">
        <x:f>IFERROR(INDEX('04_Jugadores'!$AA$6:$AA$18,MATCH(A15,'04_Jugadores'!$AE$6:$AE$18,0)),"")</x:f>
        <x:v>0.8714025921672752</x:v>
      </x:c>
      <x:c r="F15" s="40" t="n">
        <x:f>IFERROR(INDEX('04_Jugadores'!$W$6:$W$18,MATCH(A15,'04_Jugadores'!$AE$6:$AE$18,0)),"")</x:f>
        <x:v>4.1</x:v>
      </x:c>
      <x:c r="G15" s="40" t="n">
        <x:f>IFERROR(INDEX('04_Jugadores'!$X$6:$X$18,MATCH(A15,'04_Jugadores'!$AE$6:$AE$18,0)),"")</x:f>
        <x:v>90</x:v>
      </x:c>
      <x:c r="H15" s="24" t="str">
        <x:f>IFERROR(INDEX('04_Jugadores'!$AG$6:$AG$18,MATCH(A15,'04_Jugadores'!$AE$6:$AE$18,0)),"")</x:f>
        <x:v>Producción élite; penalizado por menor probabilidad de avance de Noruega.</x:v>
      </x:c>
    </x:row>
    <x:row r="16">
      <x:c r="A16" s="24" t="n">
        <x:v>7</x:v>
      </x:c>
      <x:c r="B16" s="24" t="str">
        <x:f>IFERROR(INDEX('04_Jugadores'!$A$6:$A$18,MATCH(A16,'04_Jugadores'!$AE$6:$AE$18,0)),"")</x:f>
        <x:v>Lautaro Martínez</x:v>
      </x:c>
      <x:c r="C16" s="24" t="str">
        <x:f>IFERROR(INDEX('04_Jugadores'!$B$6:$B$18,MATCH(A16,'04_Jugadores'!$AE$6:$AE$18,0)),"")</x:f>
        <x:v>Argentina</x:v>
      </x:c>
      <x:c r="D16" s="40" t="n">
        <x:f>IFERROR(INDEX('04_Jugadores'!$AD$6:$AD$18,MATCH(A16,'04_Jugadores'!$AE$6:$AE$18,0)),"")</x:f>
        <x:v>3.8311189759036144</x:v>
      </x:c>
      <x:c r="E16" s="40" t="n">
        <x:f>IFERROR(INDEX('04_Jugadores'!$AA$6:$AA$18,MATCH(A16,'04_Jugadores'!$AE$6:$AE$18,0)),"")</x:f>
        <x:v>0.7089898053753475</x:v>
      </x:c>
      <x:c r="F16" s="40" t="n">
        <x:f>IFERROR(INDEX('04_Jugadores'!$W$6:$W$18,MATCH(A16,'04_Jugadores'!$AE$6:$AE$18,0)),"")</x:f>
        <x:v>6.1</x:v>
      </x:c>
      <x:c r="G16" s="40" t="n">
        <x:f>IFERROR(INDEX('04_Jugadores'!$X$6:$X$18,MATCH(A16,'04_Jugadores'!$AE$6:$AE$18,0)),"")</x:f>
        <x:v>65</x:v>
      </x:c>
      <x:c r="H16" s="24" t="str">
        <x:f>IFERROR(INDEX('04_Jugadores'!$AG$6:$AG$18,MATCH(A16,'04_Jugadores'!$AE$6:$AE$18,0)),"")</x:f>
        <x:v>Producción oficial Inter; riesgo por reparto Messi/Julián/Lautaro.</x:v>
      </x:c>
    </x:row>
    <x:row r="17">
      <x:c r="A17" s="24" t="n">
        <x:v>8</x:v>
      </x:c>
      <x:c r="B17" s="24" t="str">
        <x:f>IFERROR(INDEX('04_Jugadores'!$A$6:$A$18,MATCH(A17,'04_Jugadores'!$AE$6:$AE$18,0)),"")</x:f>
        <x:v>Raphinha</x:v>
      </x:c>
      <x:c r="C17" s="24" t="str">
        <x:f>IFERROR(INDEX('04_Jugadores'!$B$6:$B$18,MATCH(A17,'04_Jugadores'!$AE$6:$AE$18,0)),"")</x:f>
        <x:v>Brazil</x:v>
      </x:c>
      <x:c r="D17" s="40" t="n">
        <x:f>IFERROR(INDEX('04_Jugadores'!$AD$6:$AD$18,MATCH(A17,'04_Jugadores'!$AE$6:$AE$18,0)),"")</x:f>
        <x:v>3.722284606060606</x:v>
      </x:c>
      <x:c r="E17" s="40" t="n">
        <x:f>IFERROR(INDEX('04_Jugadores'!$AA$6:$AA$18,MATCH(A17,'04_Jugadores'!$AE$6:$AE$18,0)),"")</x:f>
        <x:v>0.5909090909090909</x:v>
      </x:c>
      <x:c r="F17" s="40" t="n">
        <x:f>IFERROR(INDEX('04_Jugadores'!$W$6:$W$18,MATCH(A17,'04_Jugadores'!$AE$6:$AE$18,0)),"")</x:f>
        <x:v>5.8</x:v>
      </x:c>
      <x:c r="G17" s="40" t="n">
        <x:f>IFERROR(INDEX('04_Jugadores'!$X$6:$X$18,MATCH(A17,'04_Jugadores'!$AE$6:$AE$18,0)),"")</x:f>
        <x:v>78</x:v>
      </x:c>
      <x:c r="H17" s="24" t="str">
        <x:f>IFERROR(INDEX('04_Jugadores'!$AG$6:$AG$18,MATCH(A17,'04_Jugadores'!$AE$6:$AE$18,0)),"")</x:f>
        <x:v>Alta producción por aparición; revisar rol titular Brasil.</x:v>
      </x:c>
    </x:row>
    <x:row r="18">
      <x:c r="A18" s="24" t="n">
        <x:v>9</x:v>
      </x:c>
      <x:c r="B18" s="24" t="str">
        <x:f>IFERROR(INDEX('04_Jugadores'!$A$6:$A$18,MATCH(A18,'04_Jugadores'!$AE$6:$AE$18,0)),"")</x:f>
        <x:v>Vinícius Jr.</x:v>
      </x:c>
      <x:c r="C18" s="24" t="str">
        <x:f>IFERROR(INDEX('04_Jugadores'!$B$6:$B$18,MATCH(A18,'04_Jugadores'!$AE$6:$AE$18,0)),"")</x:f>
        <x:v>Brazil</x:v>
      </x:c>
      <x:c r="D18" s="40" t="n">
        <x:f>IFERROR(INDEX('04_Jugadores'!$AD$6:$AD$18,MATCH(A18,'04_Jugadores'!$AE$6:$AE$18,0)),"")</x:f>
        <x:v>3.0843265185185182</x:v>
      </x:c>
      <x:c r="E18" s="40" t="n">
        <x:f>IFERROR(INDEX('04_Jugadores'!$AA$6:$AA$18,MATCH(A18,'04_Jugadores'!$AE$6:$AE$18,0)),"")</x:f>
        <x:v>0.4444444444444444</x:v>
      </x:c>
      <x:c r="F18" s="40" t="n">
        <x:f>IFERROR(INDEX('04_Jugadores'!$W$6:$W$18,MATCH(A18,'04_Jugadores'!$AE$6:$AE$18,0)),"")</x:f>
        <x:v>5.8</x:v>
      </x:c>
      <x:c r="G18" s="40" t="n">
        <x:f>IFERROR(INDEX('04_Jugadores'!$X$6:$X$18,MATCH(A18,'04_Jugadores'!$AE$6:$AE$18,0)),"")</x:f>
        <x:v>84</x:v>
      </x:c>
      <x:c r="H18" s="24" t="str">
        <x:f>IFERROR(INDEX('04_Jugadores'!$AG$6:$AG$18,MATCH(A18,'04_Jugadores'!$AE$6:$AE$18,0)),"")</x:f>
        <x:v>Fuente oficial de goles/apariciones; faltan minutos/penales confirmados.</x:v>
      </x:c>
    </x:row>
    <x:row r="19">
      <x:c r="A19" s="24" t="n">
        <x:v>10</x:v>
      </x:c>
      <x:c r="B19" s="24" t="str">
        <x:f>IFERROR(INDEX('04_Jugadores'!$A$6:$A$18,MATCH(A19,'04_Jugadores'!$AE$6:$AE$18,0)),"")</x:f>
        <x:v>Mikel Oyarzabal</x:v>
      </x:c>
      <x:c r="C19" s="24" t="str">
        <x:f>IFERROR(INDEX('04_Jugadores'!$B$6:$B$18,MATCH(A19,'04_Jugadores'!$AE$6:$AE$18,0)),"")</x:f>
        <x:v>Spain</x:v>
      </x:c>
      <x:c r="D19" s="40" t="n">
        <x:f>IFERROR(INDEX('04_Jugadores'!$AD$6:$AD$18,MATCH(A19,'04_Jugadores'!$AE$6:$AE$18,0)),"")</x:f>
        <x:v>3.0536082352941176</x:v>
      </x:c>
      <x:c r="E19" s="40" t="n">
        <x:f>IFERROR(INDEX('04_Jugadores'!$AA$6:$AA$18,MATCH(A19,'04_Jugadores'!$AE$6:$AE$18,0)),"")</x:f>
        <x:v>0.4411764705882353</x:v>
      </x:c>
      <x:c r="F19" s="40" t="n">
        <x:f>IFERROR(INDEX('04_Jugadores'!$W$6:$W$18,MATCH(A19,'04_Jugadores'!$AE$6:$AE$18,0)),"")</x:f>
        <x:v>6.4</x:v>
      </x:c>
      <x:c r="G19" s="40" t="n">
        <x:f>IFERROR(INDEX('04_Jugadores'!$X$6:$X$18,MATCH(A19,'04_Jugadores'!$AE$6:$AE$18,0)),"")</x:f>
        <x:v>72</x:v>
      </x:c>
      <x:c r="H19" s="24" t="str">
        <x:f>IFERROR(INDEX('04_Jugadores'!$AG$6:$AG$18,MATCH(A19,'04_Jugadores'!$AE$6:$AE$18,0)),"")</x:f>
        <x:v>Candidato por rol/penales; riesgo de minutos vs competencia interna.</x:v>
      </x:c>
    </x:row>
    <x:row r="22">
      <x:c r="A22" s="18" t="str">
        <x:v>Lectura responsable</x:v>
      </x:c>
    </x:row>
    <x:row r="23">
      <x:c r="A23" s="29" t="str">
        <x:v>El modelo premia delanteros con alta tasa goleadora y selecciones con alta probabilidad de jugar más partidos. Haaland puede tener mejor tasa pura que varios rivales, pero el modelo lo castiga si Noruega juega menos partidos. Cristiano/Messi se deben revisar por minutos reales; Brasil/España pueden repartir goles entre varios atacantes.</x:v>
      </x:c>
    </x:row>
  </x:sheetData>
  <x:mergeCells>
    <x:mergeCell ref="A1:H1"/>
    <x:mergeCell ref="A2:H3"/>
    <x:mergeCell ref="A22:H22"/>
    <x:mergeCell ref="A23:H26"/>
  </x:mergeCells>
  <x:conditionalFormatting sqref="D10:D19">
    <x:cfRule type="dataBar" priority="1">
      <x:dataBar>
        <x:cfvo type="min"/>
        <x:cfvo type="max"/>
        <x:color rgb="1F4E78"/>
      </x:dataBar>
      <x:extLst>
        <x:ext xmlns:x14="http://schemas.microsoft.com/office/spreadsheetml/2009/9/main" uri="{B025F937-C7B1-47D3-B67F-A62EFF666E3E}">
          <x14:id>{2C25A989-FB7B-BB8B-99BF-5925495AAD8E}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aade751a0fa42a3"/>
  <x:tableParts count="1">
    <x:tablePart xmlns:r="http://schemas.openxmlformats.org/officeDocument/2006/relationships" r:id="Re4d1179217604f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25A989-FB7B-BB8B-99BF-5925495AAD8E}">
            <x14:dataBar gradient="1">
              <x14:cfvo type="min"/>
              <x14:cfvo type="max"/>
              <x14:fillColor rgb="1F4E78"/>
            </x14:dataBar>
          </x14:cfRule>
          <xm:sqref>D10:D19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4" customHeight="1">
      <x:c r="A1" s="5" t="str">
        <x:v>Método adaptado para predecir goleador Mundial 2026</x:v>
      </x:c>
    </x:row>
    <x:row r="2">
      <x:c r="A2" s="11" t="str">
        <x:v>El archivo original de Qatar 2022 funciona como matriz retrospectiva de atributos: minutos, tiros, goles, asistencias, valor de mercado e índices 0-100. Para 2026 lo convertimos en un modelo predictivo: tasa goleadora previa al torneo + minutos esperados + partidos esperados de la selección + penales + ajustes de equipo/grupo.</x:v>
      </x:c>
    </x:row>
    <x:row r="5">
      <x:c r="A5" s="18" t="str">
        <x:v>Paso</x:v>
      </x:c>
      <x:c r="B5" s="18" t="str">
        <x:v>Qué se toma del archivo original</x:v>
      </x:c>
      <x:c r="C5" s="18" t="str">
        <x:v>Cambio para 2026</x:v>
      </x:c>
      <x:c r="D5" s="18" t="str">
        <x:v>Por qué importa</x:v>
      </x:c>
    </x:row>
    <x:row r="6">
      <x:c r="A6" s="24" t="n">
        <x:v>1</x:v>
      </x:c>
      <x:c r="B6" s="24" t="str">
        <x:v>Métricas por 90 minutos</x:v>
      </x:c>
      <x:c r="C6" s="24" t="str">
        <x:v>Mantener y hacer fórmula editable</x:v>
      </x:c>
      <x:c r="D6" s="24" t="str">
        <x:v>Compara jugadores con minutos distintos sin inflar suplentes.</x:v>
      </x:c>
    </x:row>
    <x:row r="7">
      <x:c r="A7" s="24" t="n">
        <x:v>2</x:v>
      </x:c>
      <x:c r="B7" s="24" t="str">
        <x:v>Índices 0-100 / percentiles</x:v>
      </x:c>
      <x:c r="C7" s="24" t="str">
        <x:v>Usarlos solo como visualización auxiliar</x:v>
      </x:c>
      <x:c r="D7" s="24" t="str">
        <x:v>Un índice general no gana Botas de Oro; la variable central son goles esperados.</x:v>
      </x:c>
    </x:row>
    <x:row r="8">
      <x:c r="A8" s="24" t="n">
        <x:v>3</x:v>
      </x:c>
      <x:c r="B8" s="24" t="str">
        <x:v>Goles y tiros del Mundial ya jugado</x:v>
      </x:c>
      <x:c r="C8" s="24" t="str">
        <x:v>Sustituir por temporada 2025/26 y selección reciente</x:v>
      </x:c>
      <x:c r="D8" s="24" t="str">
        <x:v>No podemos usar datos del torneo 2026 antes de que ocurra.</x:v>
      </x:c>
    </x:row>
    <x:row r="9">
      <x:c r="A9" s="24" t="n">
        <x:v>4</x:v>
      </x:c>
      <x:c r="B9" s="24" t="str">
        <x:v>Valor de mercado</x:v>
      </x:c>
      <x:c r="C9" s="24" t="str">
        <x:v>Dejarlo como proxy opcional/no central</x:v>
      </x:c>
      <x:c r="D9" s="24" t="str">
        <x:v>El precio tiene ruido: edad, contrato, liga, reputación.</x:v>
      </x:c>
    </x:row>
    <x:row r="10">
      <x:c r="A10" s="24" t="n">
        <x:v>5</x:v>
      </x:c>
      <x:c r="B10" s="24" t="str">
        <x:v>Participación real en Qatar</x:v>
      </x:c>
      <x:c r="C10" s="24" t="str">
        <x:v>Modelar minutos esperados por partido</x:v>
      </x:c>
      <x:c r="D10" s="24" t="str">
        <x:v>La Bota de Oro favorece a titulares que avanzan rondas.</x:v>
      </x:c>
    </x:row>
    <x:row r="11">
      <x:c r="A11" s="24" t="n">
        <x:v>6</x:v>
      </x:c>
      <x:c r="B11" s="24" t="str">
        <x:v>Datos de equipo</x:v>
      </x:c>
      <x:c r="C11" s="24" t="str">
        <x:v>Agregar partidos esperados, ajuste ofensivo y dificultad de grupo</x:v>
      </x:c>
      <x:c r="D11" s="24" t="str">
        <x:v>Un gran goleador de una selección corta puede jugar menos partidos.</x:v>
      </x:c>
    </x:row>
    <x:row r="12">
      <x:c r="A12" s="24" t="n">
        <x:v>7</x:v>
      </x:c>
      <x:c r="B12" s="24" t="str">
        <x:v>Regla de premio</x:v>
      </x:c>
      <x:c r="C12" s="24" t="str">
        <x:v>Recordar desempates: asistencias y luego menos minutos</x:v>
      </x:c>
      <x:c r="D12" s="24" t="str">
        <x:v>La métrica principal sigue siendo goles; desempates se usan solo si empatan.</x:v>
      </x:c>
    </x:row>
    <x:row r="14">
      <x:c r="A14" s="18" t="str">
        <x:v>Fórmula base del modelo</x:v>
      </x:c>
    </x:row>
    <x:row r="15">
      <x:c r="A15" s="29" t="str">
        <x:v>EG total = [(tasa ponderada goles/90) × (partidos esperados × minutos esperados/partido ÷ 90) × ajuste ataque × ajuste grupo] + [confianza rol penales × conversión penales × penales esperados del equipo].</x:v>
      </x:c>
    </x:row>
    <x:row r="19">
      <x:c r="A19" s="29" t="str">
        <x:v>Advertencia: el resultado es un estimado determinístico, no una probabilidad real de ganar la Bota de Oro. Para probabilidad se requiere una simulación Monte Carlo/Poisson después de cerrar plantillas, lesionados y once titular.</x:v>
      </x:c>
    </x:row>
  </x:sheetData>
  <x:mergeCells>
    <x:mergeCell ref="A1:H1"/>
    <x:mergeCell ref="A2:H3"/>
    <x:mergeCell ref="A14:H14"/>
    <x:mergeCell ref="A15:H17"/>
    <x:mergeCell ref="A19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5" hidden="0" customWidth="1"/>
    <x:col min="5" max="5" width="45" hidden="0" customWidth="1"/>
  </x:cols>
  <x:sheetData>
    <x:row r="1" ht="24" customHeight="1">
      <x:c r="A1" s="5" t="str">
        <x:v>Inputs editables del modelo</x:v>
      </x:c>
    </x:row>
    <x:row r="2">
      <x:c r="A2" s="11" t="str">
        <x:v>Edita los pesos y supuestos aquí. Las fórmulas de 04_Jugadores referencian esta hoja. Los pesos se re-normalizan automáticamente cuando algún dato está vacío.</x:v>
      </x:c>
    </x:row>
    <x:row r="5">
      <x:c r="A5" s="18" t="str">
        <x:v>Variable</x:v>
      </x:c>
      <x:c r="B5" s="18" t="str">
        <x:v>Valor</x:v>
      </x:c>
      <x:c r="C5" s="18" t="str">
        <x:v>Tipo</x:v>
      </x:c>
      <x:c r="D5" s="18" t="str">
        <x:v>Descripción</x:v>
      </x:c>
      <x:c r="E5" s="18" t="str">
        <x:v>Fuente / nota</x:v>
      </x:c>
    </x:row>
    <x:row r="6">
      <x:c r="A6" s="24" t="str">
        <x:v>Peso goles liga/90</x:v>
      </x:c>
      <x:c r="B6" s="36" t="n">
        <x:v>0.45</x:v>
      </x:c>
      <x:c r="C6" s="24" t="str">
        <x:v>peso</x:v>
      </x:c>
      <x:c r="D6" s="24" t="str">
        <x:v>Producción goleadora reciente de liga por 90.</x:v>
      </x:c>
      <x:c r="E6" s="24" t="str">
        <x:v>Fuente fila a fila en 04_Jugadores.</x:v>
      </x:c>
    </x:row>
    <x:row r="7">
      <x:c r="A7" s="24" t="str">
        <x:v>Peso goles continentales/90</x:v>
      </x:c>
      <x:c r="B7" s="36" t="n">
        <x:v>0.25</x:v>
      </x:c>
      <x:c r="C7" s="24" t="str">
        <x:v>peso</x:v>
      </x:c>
      <x:c r="D7" s="24" t="str">
        <x:v>Producción en Champions/competición continental por 90 o por partido.</x:v>
      </x:c>
      <x:c r="E7" s="24" t="str">
        <x:v>UEFA u otra confederación si aplica.</x:v>
      </x:c>
    </x:row>
    <x:row r="8">
      <x:c r="A8" s="24" t="str">
        <x:v>Peso xG/npxG/90</x:v>
      </x:c>
      <x:c r="B8" s="36" t="n">
        <x:v>0.2</x:v>
      </x:c>
      <x:c r="C8" s="24" t="str">
        <x:v>peso</x:v>
      </x:c>
      <x:c r="D8" s="24" t="str">
        <x:v>Mejor predictor si se consigue de Opta/StatsBomb/FBref/Wyscout.</x:v>
      </x:c>
      <x:c r="E8" s="24" t="str">
        <x:v>Campo opcional; si queda vacío el peso se redistribuye.</x:v>
      </x:c>
    </x:row>
    <x:row r="9">
      <x:c r="A9" s="24" t="str">
        <x:v>Peso selección reciente</x:v>
      </x:c>
      <x:c r="B9" s="36" t="n">
        <x:v>0.1</x:v>
      </x:c>
      <x:c r="C9" s="24" t="str">
        <x:v>peso</x:v>
      </x:c>
      <x:c r="D9" s="24" t="str">
        <x:v>Producción goleadora reciente con selección.</x:v>
      </x:c>
      <x:c r="E9" s="24" t="str">
        <x:v>Campo opcional; requiere fuente verificable.</x:v>
      </x:c>
    </x:row>
    <x:row r="10">
      <x:c r="A10" s="24" t="str">
        <x:v>Factor seguridad minutos</x:v>
      </x:c>
      <x:c r="B10" s="36" t="n">
        <x:v>1</x:v>
      </x:c>
      <x:c r="C10" s="24" t="str">
        <x:v>ajuste</x:v>
      </x:c>
      <x:c r="D10" s="24" t="str">
        <x:v>Multiplicador conservador para minutos esperados.</x:v>
      </x:c>
      <x:c r="E10" s="24" t="str">
        <x:v>1.00 = sin ajuste.</x:v>
      </x:c>
    </x:row>
    <x:row r="11">
      <x:c r="A11" s="24" t="str">
        <x:v>Versión del modelo</x:v>
      </x:c>
      <x:c r="B11" s="24" t="str">
        <x:v>v1 - 2026-06-09</x:v>
      </x:c>
      <x:c r="C11" s="24" t="str">
        <x:v>control</x:v>
      </x:c>
      <x:c r="D11" s="24" t="str">
        <x:v>Fecha de armado del archivo.</x:v>
      </x:c>
      <x:c r="E11" s="24" t="str">
        <x:v>Actualizar antes de usar en la quiniela real.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</x:cols>
  <x:sheetData>
    <x:row r="1" ht="24" customHeight="1">
      <x:c r="A1" s="5" t="str">
        <x:v>Contexto por selección</x:v>
      </x:c>
    </x:row>
    <x:row r="2">
      <x:c r="A2" s="11" t="str">
        <x:v>Los partidos esperados y ajustes son supuestos editables del modelo. No son hechos; están separados de las fuentes oficiales para no mezclar dato verificado con juicio estadístico.</x:v>
      </x:c>
    </x:row>
    <x:row r="5">
      <x:c r="A5" s="18" t="str">
        <x:v>Selección</x:v>
      </x:c>
      <x:c r="B5" s="18" t="str">
        <x:v>Grupo</x:v>
      </x:c>
      <x:c r="C5" s="18" t="str">
        <x:v>Rivales</x:v>
      </x:c>
      <x:c r="D5" s="18" t="str">
        <x:v>Ranking FIFA ref.</x:v>
      </x:c>
      <x:c r="E5" s="18" t="str">
        <x:v>Partidos esperados</x:v>
      </x:c>
      <x:c r="F5" s="18" t="str">
        <x:v>Ajuste ataque</x:v>
      </x:c>
      <x:c r="G5" s="18" t="str">
        <x:v>Ajuste grupo</x:v>
      </x:c>
      <x:c r="H5" s="18" t="str">
        <x:v>Fuente grupos</x:v>
      </x:c>
      <x:c r="I5" s="18" t="str">
        <x:v>Notas</x:v>
      </x:c>
    </x:row>
    <x:row r="6">
      <x:c r="A6" s="24" t="str">
        <x:v>France</x:v>
      </x:c>
      <x:c r="B6" s="24" t="str">
        <x:v>I</x:v>
      </x:c>
      <x:c r="C6" s="24" t="str">
        <x:v>Senegal / Iraq / Norway</x:v>
      </x:c>
      <x:c r="D6" s="24" t="n">
        <x:v>1</x:v>
      </x:c>
      <x:c r="E6" s="24" t="n">
        <x:v>6.2</x:v>
      </x:c>
      <x:c r="F6" s="24" t="n">
        <x:v>1.18</x:v>
      </x:c>
      <x:c r="G6" s="24" t="n">
        <x:v>0.98</x:v>
      </x:c>
      <x:c r="H6" s="24" t="str">
        <x:v>https://www.fifa.com/en/tournaments/mens/worldcup/canadamexicousa2026/articles/groups-how-teams-qualify-tie-breakers</x:v>
      </x:c>
      <x:c r="I6" s="24" t="str">
        <x:v>Favorito profundo; grupo con Noruega y Senegal. Supuestos editables.</x:v>
      </x:c>
    </x:row>
    <x:row r="7">
      <x:c r="A7" s="24" t="str">
        <x:v>England</x:v>
      </x:c>
      <x:c r="B7" s="24" t="str">
        <x:v>L</x:v>
      </x:c>
      <x:c r="C7" s="24" t="str">
        <x:v>Croatia / Ghana / Panama</x:v>
      </x:c>
      <x:c r="D7" s="24" t="n">
        <x:v>4</x:v>
      </x:c>
      <x:c r="E7" s="40" t="n">
        <x:v>6</x:v>
      </x:c>
      <x:c r="F7" s="40" t="n">
        <x:v>1.14</x:v>
      </x:c>
      <x:c r="G7" s="40" t="n">
        <x:v>1.02</x:v>
      </x:c>
      <x:c r="H7" s="24" t="str">
        <x:v>https://www.fifa.com/en/tournaments/mens/worldcup/canadamexicousa2026/articles/groups-how-teams-qualify-tie-breakers</x:v>
      </x:c>
      <x:c r="I7" s="24" t="str">
        <x:v>Ruta esperada alta; Kane penalero. Supuestos editables.</x:v>
      </x:c>
    </x:row>
    <x:row r="8">
      <x:c r="A8" s="24" t="str">
        <x:v>Norway</x:v>
      </x:c>
      <x:c r="B8" s="24" t="str">
        <x:v>I</x:v>
      </x:c>
      <x:c r="C8" s="24" t="str">
        <x:v>France / Senegal / Iraq</x:v>
      </x:c>
      <x:c r="D8" s="24" t="n">
        <x:v>25</x:v>
      </x:c>
      <x:c r="E8" s="40" t="n">
        <x:v>4.1</x:v>
      </x:c>
      <x:c r="F8" s="40" t="n">
        <x:v>1.04</x:v>
      </x:c>
      <x:c r="G8" s="40" t="n">
        <x:v>0.93</x:v>
      </x:c>
      <x:c r="H8" s="24" t="str">
        <x:v>https://www.fifa.com/en/tournaments/mens/worldcup/canadamexicousa2026/articles/groups-how-teams-qualify-tie-breakers</x:v>
      </x:c>
      <x:c r="I8" s="24" t="str">
        <x:v>Haaland élite, pero castigo por probabilidad de partidos.</x:v>
      </x:c>
    </x:row>
    <x:row r="9">
      <x:c r="A9" s="24" t="str">
        <x:v>Portugal</x:v>
      </x:c>
      <x:c r="B9" s="24" t="str">
        <x:v>K</x:v>
      </x:c>
      <x:c r="C9" s="24" t="str">
        <x:v>Colombia / Uzbekistan / DR Congo</x:v>
      </x:c>
      <x:c r="D9" s="24" t="n">
        <x:v>5</x:v>
      </x:c>
      <x:c r="E9" s="40" t="n">
        <x:v>5.6</x:v>
      </x:c>
      <x:c r="F9" s="40" t="n">
        <x:v>1.12</x:v>
      </x:c>
      <x:c r="G9" s="40" t="n">
        <x:v>1.04</x:v>
      </x:c>
      <x:c r="H9" s="24" t="str">
        <x:v>https://www.fifa.com/en/tournaments/mens/worldcup/canadamexicousa2026/articles/groups-how-teams-qualify-tie-breakers</x:v>
      </x:c>
      <x:c r="I9" s="24" t="str">
        <x:v>Grupo favorable; confirmar minutos de Cristiano.</x:v>
      </x:c>
    </x:row>
    <x:row r="10">
      <x:c r="A10" s="24" t="str">
        <x:v>Argentina</x:v>
      </x:c>
      <x:c r="B10" s="24" t="str">
        <x:v>J</x:v>
      </x:c>
      <x:c r="C10" s="24" t="str">
        <x:v>Algeria / Austria / Jordan</x:v>
      </x:c>
      <x:c r="D10" s="24" t="n">
        <x:v>3</x:v>
      </x:c>
      <x:c r="E10" s="40" t="n">
        <x:v>6.1</x:v>
      </x:c>
      <x:c r="F10" s="40" t="n">
        <x:v>1.15</x:v>
      </x:c>
      <x:c r="G10" s="40" t="n">
        <x:v>1.05</x:v>
      </x:c>
      <x:c r="H10" s="24" t="str">
        <x:v>https://www.fifa.com/en/tournaments/mens/worldcup/canadamexicousa2026/articles/groups-how-teams-qualify-tie-breakers</x:v>
      </x:c>
      <x:c r="I10" s="24" t="str">
        <x:v>Campeón vigente; minutos de Messi/Julián/Lautaro son variable crítica.</x:v>
      </x:c>
    </x:row>
    <x:row r="11">
      <x:c r="A11" s="24" t="str">
        <x:v>Spain</x:v>
      </x:c>
      <x:c r="B11" s="24" t="str">
        <x:v>H</x:v>
      </x:c>
      <x:c r="C11" s="24" t="str">
        <x:v>Cape Verde / Saudi Arabia / Uruguay</x:v>
      </x:c>
      <x:c r="D11" s="24" t="n">
        <x:v>2</x:v>
      </x:c>
      <x:c r="E11" s="40" t="n">
        <x:v>6.4</x:v>
      </x:c>
      <x:c r="F11" s="40" t="n">
        <x:v>1.17</x:v>
      </x:c>
      <x:c r="G11" s="40" t="n">
        <x:v>1.03</x:v>
      </x:c>
      <x:c r="H11" s="24" t="str">
        <x:v>https://www.fifa.com/en/tournaments/mens/worldcup/canadamexicousa2026/articles/groups-how-teams-qualify-tie-breakers</x:v>
      </x:c>
      <x:c r="I11" s="24" t="str">
        <x:v>Favorita con ataque repartido; riesgo de rotación.</x:v>
      </x:c>
    </x:row>
    <x:row r="12">
      <x:c r="A12" s="24" t="str">
        <x:v>Brazil</x:v>
      </x:c>
      <x:c r="B12" s="24" t="str">
        <x:v>C</x:v>
      </x:c>
      <x:c r="C12" s="24" t="str">
        <x:v>Haiti / Morocco / Scotland</x:v>
      </x:c>
      <x:c r="D12" s="24" t="n">
        <x:v>6</x:v>
      </x:c>
      <x:c r="E12" s="40" t="n">
        <x:v>5.8</x:v>
      </x:c>
      <x:c r="F12" s="40" t="n">
        <x:v>1.16</x:v>
      </x:c>
      <x:c r="G12" s="40" t="n">
        <x:v>1.06</x:v>
      </x:c>
      <x:c r="H12" s="24" t="str">
        <x:v>https://www.fifa.com/en/tournaments/mens/worldcup/canadamexicousa2026/articles/groups-how-teams-qualify-tie-breakers</x:v>
      </x:c>
      <x:c r="I12" s="24" t="str">
        <x:v>Grupo con potencial de goles; rol de penales por confirmar.</x:v>
      </x:c>
    </x:row>
    <x:row r="13">
      <x:c r="A13" s="24" t="str">
        <x:v>Sweden</x:v>
      </x:c>
      <x:c r="B13" s="24" t="str">
        <x:v>F</x:v>
      </x:c>
      <x:c r="C13" s="24" t="str">
        <x:v>Netherlands / Japan / Tunisia</x:v>
      </x:c>
      <x:c r="D13" s="24" t="n">
        <x:v>20</x:v>
      </x:c>
      <x:c r="E13" s="40" t="n">
        <x:v>4.3</x:v>
      </x:c>
      <x:c r="F13" s="40" t="n">
        <x:v>1.05</x:v>
      </x:c>
      <x:c r="G13" s="40" t="n">
        <x:v>0.96</x:v>
      </x:c>
      <x:c r="H13" s="24" t="str">
        <x:v>https://www.fifa.com/en/tournaments/mens/worldcup/canadamexicousa2026/articles/groups-how-teams-qualify-tie-breakers</x:v>
      </x:c>
      <x:c r="I13" s="24" t="str">
        <x:v>Gyökeres depende de avance; grupo competido.</x:v>
      </x:c>
    </x:row>
    <x:row r="14">
      <x:c r="A14" s="24"/>
      <x:c r="B14" s="24"/>
      <x:c r="C14" s="24"/>
      <x:c r="D14" s="24"/>
      <x:c r="E14" s="40"/>
      <x:c r="F14" s="40"/>
      <x:c r="G14" s="40"/>
      <x:c r="H14" s="24"/>
      <x:c r="I14" s="24"/>
    </x:row>
    <x:row r="15">
      <x:c r="A15" s="24"/>
      <x:c r="B15" s="24"/>
      <x:c r="C15" s="24"/>
      <x:c r="D15" s="24"/>
      <x:c r="E15" s="40"/>
      <x:c r="F15" s="40"/>
      <x:c r="G15" s="40"/>
      <x:c r="H15" s="24"/>
      <x:c r="I15" s="24"/>
    </x:row>
    <x:row r="16">
      <x:c r="A16" s="24"/>
      <x:c r="B16" s="24"/>
      <x:c r="C16" s="24"/>
      <x:c r="D16" s="24"/>
      <x:c r="E16" s="40"/>
      <x:c r="F16" s="40"/>
      <x:c r="G16" s="40"/>
      <x:c r="H16" s="24"/>
      <x:c r="I16" s="24"/>
    </x:row>
    <x:row r="17">
      <x:c r="A17" s="24"/>
      <x:c r="B17" s="24"/>
      <x:c r="C17" s="24"/>
      <x:c r="D17" s="24"/>
      <x:c r="E17" s="40"/>
      <x:c r="F17" s="40"/>
      <x:c r="G17" s="40"/>
      <x:c r="H17" s="24"/>
      <x:c r="I17" s="24"/>
    </x:row>
    <x:row r="18">
      <x:c r="A18" s="24"/>
      <x:c r="B18" s="24"/>
      <x:c r="C18" s="24"/>
      <x:c r="D18" s="24"/>
      <x:c r="E18" s="40"/>
      <x:c r="F18" s="40"/>
      <x:c r="G18" s="40"/>
      <x:c r="H18" s="24"/>
      <x:c r="I18" s="24"/>
    </x:row>
    <x:row r="19">
      <x:c r="A19" s="24"/>
      <x:c r="B19" s="24"/>
      <x:c r="C19" s="24"/>
      <x:c r="D19" s="24"/>
      <x:c r="E19" s="40"/>
      <x:c r="F19" s="40"/>
      <x:c r="G19" s="40"/>
      <x:c r="H19" s="24"/>
      <x:c r="I19" s="24"/>
    </x:row>
    <x:row r="20">
      <x:c r="A20" s="24"/>
      <x:c r="B20" s="24"/>
      <x:c r="C20" s="24"/>
      <x:c r="D20" s="24"/>
      <x:c r="E20" s="40"/>
      <x:c r="F20" s="40"/>
      <x:c r="G20" s="40"/>
      <x:c r="H20" s="24"/>
      <x:c r="I20" s="24"/>
    </x:row>
    <x:row r="21">
      <x:c r="A21" s="24"/>
      <x:c r="B21" s="24"/>
      <x:c r="C21" s="24"/>
      <x:c r="D21" s="24"/>
      <x:c r="E21" s="40"/>
      <x:c r="F21" s="40"/>
      <x:c r="G21" s="40"/>
      <x:c r="H21" s="24"/>
      <x:c r="I21" s="24"/>
    </x:row>
    <x:row r="22">
      <x:c r="A22" s="24"/>
      <x:c r="B22" s="24"/>
      <x:c r="C22" s="24"/>
      <x:c r="D22" s="24"/>
      <x:c r="E22" s="40"/>
      <x:c r="F22" s="40"/>
      <x:c r="G22" s="40"/>
      <x:c r="H22" s="24"/>
      <x:c r="I22" s="24"/>
    </x:row>
    <x:row r="23">
      <x:c r="A23" s="24"/>
      <x:c r="B23" s="24"/>
      <x:c r="C23" s="24"/>
      <x:c r="D23" s="24"/>
      <x:c r="E23" s="40"/>
      <x:c r="F23" s="40"/>
      <x:c r="G23" s="40"/>
      <x:c r="H23" s="24"/>
      <x:c r="I23" s="24"/>
    </x:row>
    <x:row r="24">
      <x:c r="A24" s="24"/>
      <x:c r="B24" s="24"/>
      <x:c r="C24" s="24"/>
      <x:c r="D24" s="24"/>
      <x:c r="E24" s="40"/>
      <x:c r="F24" s="40"/>
      <x:c r="G24" s="40"/>
      <x:c r="H24" s="24"/>
      <x:c r="I24" s="24"/>
    </x:row>
    <x:row r="25">
      <x:c r="A25" s="24"/>
      <x:c r="B25" s="24"/>
      <x:c r="C25" s="24"/>
      <x:c r="D25" s="24"/>
      <x:c r="E25" s="40"/>
      <x:c r="F25" s="40"/>
      <x:c r="G25" s="40"/>
      <x:c r="H25" s="24"/>
      <x:c r="I25" s="24"/>
    </x:row>
    <x:row r="26">
      <x:c r="A26" s="24"/>
      <x:c r="B26" s="24"/>
      <x:c r="C26" s="24"/>
      <x:c r="D26" s="24"/>
      <x:c r="E26" s="40"/>
      <x:c r="F26" s="40"/>
      <x:c r="G26" s="40"/>
      <x:c r="H26" s="24"/>
      <x:c r="I26" s="24"/>
    </x:row>
    <x:row r="27">
      <x:c r="A27" s="24"/>
      <x:c r="B27" s="24"/>
      <x:c r="C27" s="24"/>
      <x:c r="D27" s="24"/>
      <x:c r="E27" s="40"/>
      <x:c r="F27" s="40"/>
      <x:c r="G27" s="40"/>
      <x:c r="H27" s="24"/>
      <x:c r="I27" s="24"/>
    </x:row>
    <x:row r="28">
      <x:c r="A28" s="24"/>
      <x:c r="B28" s="24"/>
      <x:c r="C28" s="24"/>
      <x:c r="D28" s="24"/>
      <x:c r="E28" s="40"/>
      <x:c r="F28" s="40"/>
      <x:c r="G28" s="40"/>
      <x:c r="H28" s="24"/>
      <x:c r="I28" s="24"/>
    </x:row>
    <x:row r="29">
      <x:c r="A29" s="24"/>
      <x:c r="B29" s="24"/>
      <x:c r="C29" s="24"/>
      <x:c r="D29" s="24"/>
      <x:c r="E29" s="40"/>
      <x:c r="F29" s="40"/>
      <x:c r="G29" s="40"/>
      <x:c r="H29" s="24"/>
      <x:c r="I29" s="24"/>
    </x:row>
    <x:row r="30">
      <x:c r="A30" s="24"/>
      <x:c r="B30" s="24"/>
      <x:c r="C30" s="24"/>
      <x:c r="D30" s="24"/>
      <x:c r="E30" s="40"/>
      <x:c r="F30" s="40"/>
      <x:c r="G30" s="40"/>
      <x:c r="H30" s="24"/>
      <x:c r="I30" s="24"/>
    </x:row>
    <x:row r="31">
      <x:c r="A31" s="24"/>
      <x:c r="B31" s="24"/>
      <x:c r="C31" s="24"/>
      <x:c r="D31" s="24"/>
      <x:c r="E31" s="40"/>
      <x:c r="F31" s="40"/>
      <x:c r="G31" s="40"/>
      <x:c r="H31" s="24"/>
      <x:c r="I31" s="24"/>
    </x:row>
    <x:row r="32">
      <x:c r="A32" s="24"/>
      <x:c r="B32" s="24"/>
      <x:c r="C32" s="24"/>
      <x:c r="D32" s="24"/>
      <x:c r="E32" s="40"/>
      <x:c r="F32" s="40"/>
      <x:c r="G32" s="40"/>
      <x:c r="H32" s="24"/>
      <x:c r="I32" s="24"/>
    </x:row>
    <x:row r="33">
      <x:c r="A33" s="24"/>
      <x:c r="B33" s="24"/>
      <x:c r="C33" s="24"/>
      <x:c r="D33" s="24"/>
      <x:c r="E33" s="40"/>
      <x:c r="F33" s="40"/>
      <x:c r="G33" s="40"/>
      <x:c r="H33" s="24"/>
      <x:c r="I33" s="24"/>
    </x:row>
    <x:row r="34">
      <x:c r="A34" s="24"/>
      <x:c r="B34" s="24"/>
      <x:c r="C34" s="24"/>
      <x:c r="D34" s="24"/>
      <x:c r="E34" s="40"/>
      <x:c r="F34" s="40"/>
      <x:c r="G34" s="40"/>
      <x:c r="H34" s="24"/>
      <x:c r="I34" s="24"/>
    </x:row>
    <x:row r="35">
      <x:c r="A35" s="24"/>
      <x:c r="B35" s="24"/>
      <x:c r="C35" s="24"/>
      <x:c r="D35" s="24"/>
      <x:c r="E35" s="40"/>
      <x:c r="F35" s="40"/>
      <x:c r="G35" s="40"/>
      <x:c r="H35" s="24"/>
      <x:c r="I35" s="24"/>
    </x:row>
    <x:row r="36">
      <x:c r="A36" s="24"/>
      <x:c r="B36" s="24"/>
      <x:c r="C36" s="24"/>
      <x:c r="D36" s="24"/>
      <x:c r="E36" s="40"/>
      <x:c r="F36" s="40"/>
      <x:c r="G36" s="40"/>
      <x:c r="H36" s="24"/>
      <x:c r="I36" s="24"/>
    </x:row>
    <x:row r="37">
      <x:c r="A37" s="24"/>
      <x:c r="B37" s="24"/>
      <x:c r="C37" s="24"/>
      <x:c r="D37" s="24"/>
      <x:c r="E37" s="40"/>
      <x:c r="F37" s="40"/>
      <x:c r="G37" s="40"/>
      <x:c r="H37" s="24"/>
      <x:c r="I37" s="24"/>
    </x:row>
    <x:row r="38">
      <x:c r="A38" s="24"/>
      <x:c r="B38" s="24"/>
      <x:c r="C38" s="24"/>
      <x:c r="D38" s="24"/>
      <x:c r="E38" s="40"/>
      <x:c r="F38" s="40"/>
      <x:c r="G38" s="40"/>
      <x:c r="H38" s="24"/>
      <x:c r="I38" s="24"/>
    </x:row>
    <x:row r="39">
      <x:c r="A39" s="24"/>
      <x:c r="B39" s="24"/>
      <x:c r="C39" s="24"/>
      <x:c r="D39" s="24"/>
      <x:c r="E39" s="40"/>
      <x:c r="F39" s="40"/>
      <x:c r="G39" s="40"/>
      <x:c r="H39" s="24"/>
      <x:c r="I39" s="24"/>
    </x:row>
    <x:row r="40">
      <x:c r="A40" s="24"/>
      <x:c r="B40" s="24"/>
      <x:c r="C40" s="24"/>
      <x:c r="D40" s="24"/>
      <x:c r="E40" s="40"/>
      <x:c r="F40" s="40"/>
      <x:c r="G40" s="40"/>
      <x:c r="H40" s="24"/>
      <x:c r="I40" s="24"/>
    </x:row>
    <x:row r="41">
      <x:c r="A41" s="24"/>
      <x:c r="B41" s="24"/>
      <x:c r="C41" s="24"/>
      <x:c r="D41" s="24"/>
      <x:c r="E41" s="40"/>
      <x:c r="F41" s="40"/>
      <x:c r="G41" s="40"/>
      <x:c r="H41" s="24"/>
      <x:c r="I41" s="24"/>
    </x:row>
    <x:row r="42">
      <x:c r="A42" s="24"/>
      <x:c r="B42" s="24"/>
      <x:c r="C42" s="24"/>
      <x:c r="D42" s="24"/>
      <x:c r="E42" s="40"/>
      <x:c r="F42" s="40"/>
      <x:c r="G42" s="40"/>
      <x:c r="H42" s="24"/>
      <x:c r="I42" s="24"/>
    </x:row>
    <x:row r="43">
      <x:c r="A43" s="24"/>
      <x:c r="B43" s="24"/>
      <x:c r="C43" s="24"/>
      <x:c r="D43" s="24"/>
      <x:c r="E43" s="40"/>
      <x:c r="F43" s="40"/>
      <x:c r="G43" s="40"/>
      <x:c r="H43" s="24"/>
      <x:c r="I43" s="24"/>
    </x:row>
    <x:row r="44">
      <x:c r="A44" s="24"/>
      <x:c r="B44" s="24"/>
      <x:c r="C44" s="24"/>
      <x:c r="D44" s="24"/>
      <x:c r="E44" s="40"/>
      <x:c r="F44" s="40"/>
      <x:c r="G44" s="40"/>
      <x:c r="H44" s="24"/>
      <x:c r="I44" s="24"/>
    </x:row>
    <x:row r="45">
      <x:c r="A45" s="24"/>
      <x:c r="B45" s="24"/>
      <x:c r="C45" s="24"/>
      <x:c r="D45" s="24"/>
      <x:c r="E45" s="40"/>
      <x:c r="F45" s="40"/>
      <x:c r="G45" s="40"/>
      <x:c r="H45" s="24"/>
      <x:c r="I45" s="24"/>
    </x:row>
    <x:row r="46">
      <x:c r="A46" s="24"/>
      <x:c r="B46" s="24"/>
      <x:c r="C46" s="24"/>
      <x:c r="D46" s="24"/>
      <x:c r="E46" s="40"/>
      <x:c r="F46" s="40"/>
      <x:c r="G46" s="40"/>
      <x:c r="H46" s="24"/>
      <x:c r="I46" s="24"/>
    </x:row>
    <x:row r="47">
      <x:c r="A47" s="24"/>
      <x:c r="B47" s="24"/>
      <x:c r="C47" s="24"/>
      <x:c r="D47" s="24"/>
      <x:c r="E47" s="40"/>
      <x:c r="F47" s="40"/>
      <x:c r="G47" s="40"/>
      <x:c r="H47" s="24"/>
      <x:c r="I47" s="24"/>
    </x:row>
    <x:row r="48">
      <x:c r="A48" s="24"/>
      <x:c r="B48" s="24"/>
      <x:c r="C48" s="24"/>
      <x:c r="D48" s="24"/>
      <x:c r="E48" s="40"/>
      <x:c r="F48" s="40"/>
      <x:c r="G48" s="40"/>
      <x:c r="H48" s="24"/>
      <x:c r="I48" s="24"/>
    </x:row>
    <x:row r="49">
      <x:c r="A49" s="24"/>
      <x:c r="B49" s="24"/>
      <x:c r="C49" s="24"/>
      <x:c r="D49" s="24"/>
      <x:c r="E49" s="40"/>
      <x:c r="F49" s="40"/>
      <x:c r="G49" s="40"/>
      <x:c r="H49" s="24"/>
      <x:c r="I49" s="24"/>
    </x:row>
    <x:row r="50">
      <x:c r="A50" s="24"/>
      <x:c r="B50" s="24"/>
      <x:c r="C50" s="24"/>
      <x:c r="D50" s="24"/>
      <x:c r="E50" s="40"/>
      <x:c r="F50" s="40"/>
      <x:c r="G50" s="40"/>
      <x:c r="H50" s="24"/>
      <x:c r="I50" s="24"/>
    </x:row>
    <x:row r="51">
      <x:c r="A51" s="24"/>
      <x:c r="B51" s="24"/>
      <x:c r="C51" s="24"/>
      <x:c r="D51" s="24"/>
      <x:c r="E51" s="40"/>
      <x:c r="F51" s="40"/>
      <x:c r="G51" s="40"/>
      <x:c r="H51" s="24"/>
      <x:c r="I51" s="24"/>
    </x:row>
    <x:row r="52">
      <x:c r="A52" s="24"/>
      <x:c r="B52" s="24"/>
      <x:c r="C52" s="24"/>
      <x:c r="D52" s="24"/>
      <x:c r="E52" s="40"/>
      <x:c r="F52" s="40"/>
      <x:c r="G52" s="40"/>
      <x:c r="H52" s="24"/>
      <x:c r="I52" s="24"/>
    </x:row>
    <x:row r="53">
      <x:c r="A53" s="24"/>
      <x:c r="B53" s="24"/>
      <x:c r="C53" s="24"/>
      <x:c r="D53" s="24"/>
      <x:c r="E53" s="40"/>
      <x:c r="F53" s="40"/>
      <x:c r="G53" s="40"/>
      <x:c r="H53" s="24"/>
      <x:c r="I53" s="24"/>
    </x:row>
    <x:row r="54">
      <x:c r="A54" s="24"/>
      <x:c r="B54" s="24"/>
      <x:c r="C54" s="24"/>
      <x:c r="D54" s="24"/>
      <x:c r="E54" s="40"/>
      <x:c r="F54" s="40"/>
      <x:c r="G54" s="40"/>
      <x:c r="H54" s="24"/>
      <x:c r="I54" s="24"/>
    </x:row>
    <x:row r="55">
      <x:c r="A55" s="24"/>
      <x:c r="B55" s="24"/>
      <x:c r="C55" s="24"/>
      <x:c r="D55" s="24"/>
      <x:c r="E55" s="40"/>
      <x:c r="F55" s="40"/>
      <x:c r="G55" s="40"/>
      <x:c r="H55" s="24"/>
      <x:c r="I55" s="24"/>
    </x:row>
    <x:row r="56">
      <x:c r="A56" s="24"/>
      <x:c r="B56" s="24"/>
      <x:c r="C56" s="24"/>
      <x:c r="D56" s="24"/>
      <x:c r="E56" s="40"/>
      <x:c r="F56" s="40"/>
      <x:c r="G56" s="40"/>
      <x:c r="H56" s="24"/>
      <x:c r="I56" s="24"/>
    </x:row>
    <x:row r="57">
      <x:c r="A57" s="24"/>
      <x:c r="B57" s="24"/>
      <x:c r="C57" s="24"/>
      <x:c r="D57" s="24"/>
      <x:c r="E57" s="40"/>
      <x:c r="F57" s="40"/>
      <x:c r="G57" s="40"/>
      <x:c r="H57" s="24"/>
      <x:c r="I57" s="24"/>
    </x:row>
    <x:row r="58">
      <x:c r="A58" s="24"/>
      <x:c r="B58" s="24"/>
      <x:c r="C58" s="24"/>
      <x:c r="D58" s="24"/>
      <x:c r="E58" s="40"/>
      <x:c r="F58" s="40"/>
      <x:c r="G58" s="40"/>
      <x:c r="H58" s="24"/>
      <x:c r="I58" s="24"/>
    </x:row>
    <x:row r="59">
      <x:c r="A59" s="24"/>
      <x:c r="B59" s="24"/>
      <x:c r="C59" s="24"/>
      <x:c r="D59" s="24"/>
      <x:c r="E59" s="40"/>
      <x:c r="F59" s="40"/>
      <x:c r="G59" s="40"/>
      <x:c r="H59" s="24"/>
      <x:c r="I59" s="24"/>
    </x:row>
    <x:row r="60">
      <x:c r="A60" s="24"/>
      <x:c r="B60" s="24"/>
      <x:c r="C60" s="24"/>
      <x:c r="D60" s="24"/>
      <x:c r="E60" s="40"/>
      <x:c r="F60" s="40"/>
      <x:c r="G60" s="40"/>
      <x:c r="H60" s="24"/>
      <x:c r="I60" s="24"/>
    </x:row>
    <x:row r="61">
      <x:c r="A61" s="24"/>
      <x:c r="B61" s="24"/>
      <x:c r="C61" s="24"/>
      <x:c r="D61" s="24"/>
      <x:c r="E61" s="40"/>
      <x:c r="F61" s="40"/>
      <x:c r="G61" s="40"/>
      <x:c r="H61" s="24"/>
      <x:c r="I61" s="24"/>
    </x:row>
    <x:row r="62">
      <x:c r="A62" s="24"/>
      <x:c r="B62" s="24"/>
      <x:c r="C62" s="24"/>
      <x:c r="D62" s="24"/>
      <x:c r="E62" s="40"/>
      <x:c r="F62" s="40"/>
      <x:c r="G62" s="40"/>
      <x:c r="H62" s="24"/>
      <x:c r="I62" s="24"/>
    </x:row>
    <x:row r="63">
      <x:c r="A63" s="24"/>
      <x:c r="B63" s="24"/>
      <x:c r="C63" s="24"/>
      <x:c r="D63" s="24"/>
      <x:c r="E63" s="40"/>
      <x:c r="F63" s="40"/>
      <x:c r="G63" s="40"/>
      <x:c r="H63" s="24"/>
      <x:c r="I63" s="24"/>
    </x:row>
    <x:row r="64">
      <x:c r="A64" s="24"/>
      <x:c r="B64" s="24"/>
      <x:c r="C64" s="24"/>
      <x:c r="D64" s="24"/>
      <x:c r="E64" s="40"/>
      <x:c r="F64" s="40"/>
      <x:c r="G64" s="40"/>
      <x:c r="H64" s="24"/>
      <x:c r="I64" s="24"/>
    </x:row>
    <x:row r="65">
      <x:c r="A65" s="24"/>
      <x:c r="B65" s="24"/>
      <x:c r="C65" s="24"/>
      <x:c r="D65" s="24"/>
      <x:c r="E65" s="40"/>
      <x:c r="F65" s="40"/>
      <x:c r="G65" s="40"/>
      <x:c r="H65" s="24"/>
      <x:c r="I65" s="24"/>
    </x:row>
    <x:row r="66">
      <x:c r="A66" s="24"/>
      <x:c r="B66" s="24"/>
      <x:c r="C66" s="24"/>
      <x:c r="D66" s="24"/>
      <x:c r="E66" s="40"/>
      <x:c r="F66" s="40"/>
      <x:c r="G66" s="40"/>
      <x:c r="H66" s="24"/>
      <x:c r="I66" s="24"/>
    </x:row>
    <x:row r="67">
      <x:c r="A67" s="24"/>
      <x:c r="B67" s="24"/>
      <x:c r="C67" s="24"/>
      <x:c r="D67" s="24"/>
      <x:c r="E67" s="40"/>
      <x:c r="F67" s="40"/>
      <x:c r="G67" s="40"/>
      <x:c r="H67" s="24"/>
      <x:c r="I67" s="24"/>
    </x:row>
    <x:row r="68">
      <x:c r="A68" s="24"/>
      <x:c r="B68" s="24"/>
      <x:c r="C68" s="24"/>
      <x:c r="D68" s="24"/>
      <x:c r="E68" s="40"/>
      <x:c r="F68" s="40"/>
      <x:c r="G68" s="40"/>
      <x:c r="H68" s="24"/>
      <x:c r="I68" s="24"/>
    </x:row>
    <x:row r="69">
      <x:c r="A69" s="24"/>
      <x:c r="B69" s="24"/>
      <x:c r="C69" s="24"/>
      <x:c r="D69" s="24"/>
      <x:c r="E69" s="40"/>
      <x:c r="F69" s="40"/>
      <x:c r="G69" s="40"/>
      <x:c r="H69" s="24"/>
      <x:c r="I69" s="24"/>
    </x:row>
    <x:row r="70">
      <x:c r="A70" s="24"/>
      <x:c r="B70" s="24"/>
      <x:c r="C70" s="24"/>
      <x:c r="D70" s="24"/>
      <x:c r="E70" s="40"/>
      <x:c r="F70" s="40"/>
      <x:c r="G70" s="40"/>
      <x:c r="H70" s="24"/>
      <x:c r="I70" s="24"/>
    </x:row>
    <x:row r="71">
      <x:c r="A71" s="24"/>
      <x:c r="B71" s="24"/>
      <x:c r="C71" s="24"/>
      <x:c r="D71" s="24"/>
      <x:c r="E71" s="40"/>
      <x:c r="F71" s="40"/>
      <x:c r="G71" s="40"/>
      <x:c r="H71" s="24"/>
      <x:c r="I71" s="24"/>
    </x:row>
    <x:row r="72">
      <x:c r="A72" s="24"/>
      <x:c r="B72" s="24"/>
      <x:c r="C72" s="24"/>
      <x:c r="D72" s="24"/>
      <x:c r="E72" s="40"/>
      <x:c r="F72" s="40"/>
      <x:c r="G72" s="40"/>
      <x:c r="H72" s="24"/>
      <x:c r="I72" s="24"/>
    </x:row>
    <x:row r="73">
      <x:c r="A73" s="24"/>
      <x:c r="B73" s="24"/>
      <x:c r="C73" s="24"/>
      <x:c r="D73" s="24"/>
      <x:c r="E73" s="40"/>
      <x:c r="F73" s="40"/>
      <x:c r="G73" s="40"/>
      <x:c r="H73" s="24"/>
      <x:c r="I73" s="24"/>
    </x:row>
    <x:row r="74">
      <x:c r="A74" s="24"/>
      <x:c r="B74" s="24"/>
      <x:c r="C74" s="24"/>
      <x:c r="D74" s="24"/>
      <x:c r="E74" s="40"/>
      <x:c r="F74" s="40"/>
      <x:c r="G74" s="40"/>
      <x:c r="H74" s="24"/>
      <x:c r="I74" s="24"/>
    </x:row>
    <x:row r="75">
      <x:c r="A75" s="24"/>
      <x:c r="B75" s="24"/>
      <x:c r="C75" s="24"/>
      <x:c r="D75" s="24"/>
      <x:c r="E75" s="40"/>
      <x:c r="F75" s="40"/>
      <x:c r="G75" s="40"/>
      <x:c r="H75" s="24"/>
      <x:c r="I75" s="24"/>
    </x:row>
    <x:row r="76">
      <x:c r="A76" s="24"/>
      <x:c r="B76" s="24"/>
      <x:c r="C76" s="24"/>
      <x:c r="D76" s="24"/>
      <x:c r="E76" s="40"/>
      <x:c r="F76" s="40"/>
      <x:c r="G76" s="40"/>
      <x:c r="H76" s="24"/>
      <x:c r="I76" s="24"/>
    </x:row>
    <x:row r="77">
      <x:c r="A77" s="24"/>
      <x:c r="B77" s="24"/>
      <x:c r="C77" s="24"/>
      <x:c r="D77" s="24"/>
      <x:c r="E77" s="40"/>
      <x:c r="F77" s="40"/>
      <x:c r="G77" s="40"/>
      <x:c r="H77" s="24"/>
      <x:c r="I77" s="24"/>
    </x:row>
    <x:row r="78">
      <x:c r="A78" s="24"/>
      <x:c r="B78" s="24"/>
      <x:c r="C78" s="24"/>
      <x:c r="D78" s="24"/>
      <x:c r="E78" s="40"/>
      <x:c r="F78" s="40"/>
      <x:c r="G78" s="40"/>
      <x:c r="H78" s="24"/>
      <x:c r="I78" s="24"/>
    </x:row>
    <x:row r="79">
      <x:c r="A79" s="24"/>
      <x:c r="B79" s="24"/>
      <x:c r="C79" s="24"/>
      <x:c r="D79" s="24"/>
      <x:c r="E79" s="40"/>
      <x:c r="F79" s="40"/>
      <x:c r="G79" s="40"/>
      <x:c r="H79" s="24"/>
      <x:c r="I79" s="24"/>
    </x:row>
    <x:row r="80">
      <x:c r="A80" s="24"/>
      <x:c r="B80" s="24"/>
      <x:c r="C80" s="24"/>
      <x:c r="D80" s="24"/>
      <x:c r="E80" s="40"/>
      <x:c r="F80" s="40"/>
      <x:c r="G80" s="40"/>
      <x:c r="H80" s="24"/>
      <x:c r="I80" s="24"/>
    </x:row>
    <x:row r="81">
      <x:c r="A81" s="24"/>
      <x:c r="B81" s="24"/>
      <x:c r="C81" s="24"/>
      <x:c r="D81" s="24"/>
      <x:c r="E81" s="40"/>
      <x:c r="F81" s="40"/>
      <x:c r="G81" s="40"/>
      <x:c r="H81" s="24"/>
      <x:c r="I81" s="24"/>
    </x:row>
    <x:row r="82">
      <x:c r="A82" s="24"/>
      <x:c r="B82" s="24"/>
      <x:c r="C82" s="24"/>
      <x:c r="D82" s="24"/>
      <x:c r="E82" s="40"/>
      <x:c r="F82" s="40"/>
      <x:c r="G82" s="40"/>
      <x:c r="H82" s="24"/>
      <x:c r="I82" s="24"/>
    </x:row>
    <x:row r="83">
      <x:c r="A83" s="24"/>
      <x:c r="B83" s="24"/>
      <x:c r="C83" s="24"/>
      <x:c r="D83" s="24"/>
      <x:c r="E83" s="40"/>
      <x:c r="F83" s="40"/>
      <x:c r="G83" s="40"/>
      <x:c r="H83" s="24"/>
      <x:c r="I83" s="24"/>
    </x:row>
    <x:row r="84">
      <x:c r="A84" s="24"/>
      <x:c r="B84" s="24"/>
      <x:c r="C84" s="24"/>
      <x:c r="D84" s="24"/>
      <x:c r="E84" s="40"/>
      <x:c r="F84" s="40"/>
      <x:c r="G84" s="40"/>
      <x:c r="H84" s="24"/>
      <x:c r="I84" s="24"/>
    </x:row>
    <x:row r="85">
      <x:c r="A85" s="24"/>
      <x:c r="B85" s="24"/>
      <x:c r="C85" s="24"/>
      <x:c r="D85" s="24"/>
      <x:c r="E85" s="40"/>
      <x:c r="F85" s="40"/>
      <x:c r="G85" s="40"/>
      <x:c r="H85" s="24"/>
      <x:c r="I85" s="24"/>
    </x:row>
    <x:row r="86">
      <x:c r="A86" s="24"/>
      <x:c r="B86" s="24"/>
      <x:c r="C86" s="24"/>
      <x:c r="D86" s="24"/>
      <x:c r="E86" s="40"/>
      <x:c r="F86" s="40"/>
      <x:c r="G86" s="40"/>
      <x:c r="H86" s="24"/>
      <x:c r="I86" s="24"/>
    </x:row>
    <x:row r="87">
      <x:c r="A87" s="24"/>
      <x:c r="B87" s="24"/>
      <x:c r="C87" s="24"/>
      <x:c r="D87" s="24"/>
      <x:c r="E87" s="40"/>
      <x:c r="F87" s="40"/>
      <x:c r="G87" s="40"/>
      <x:c r="H87" s="24"/>
      <x:c r="I87" s="24"/>
    </x:row>
    <x:row r="88">
      <x:c r="A88" s="24"/>
      <x:c r="B88" s="24"/>
      <x:c r="C88" s="24"/>
      <x:c r="D88" s="24"/>
      <x:c r="E88" s="40"/>
      <x:c r="F88" s="40"/>
      <x:c r="G88" s="40"/>
      <x:c r="H88" s="24"/>
      <x:c r="I88" s="24"/>
    </x:row>
    <x:row r="89">
      <x:c r="A89" s="24"/>
      <x:c r="B89" s="24"/>
      <x:c r="C89" s="24"/>
      <x:c r="D89" s="24"/>
      <x:c r="E89" s="40"/>
      <x:c r="F89" s="40"/>
      <x:c r="G89" s="40"/>
      <x:c r="H89" s="24"/>
      <x:c r="I89" s="24"/>
    </x:row>
    <x:row r="90">
      <x:c r="A90" s="24"/>
      <x:c r="B90" s="24"/>
      <x:c r="C90" s="24"/>
      <x:c r="D90" s="24"/>
      <x:c r="E90" s="40"/>
      <x:c r="F90" s="40"/>
      <x:c r="G90" s="40"/>
      <x:c r="H90" s="24"/>
      <x:c r="I90" s="24"/>
    </x:row>
    <x:row r="91">
      <x:c r="A91" s="24"/>
      <x:c r="B91" s="24"/>
      <x:c r="C91" s="24"/>
      <x:c r="D91" s="24"/>
      <x:c r="E91" s="40"/>
      <x:c r="F91" s="40"/>
      <x:c r="G91" s="40"/>
      <x:c r="H91" s="24"/>
      <x:c r="I91" s="24"/>
    </x:row>
    <x:row r="92">
      <x:c r="A92" s="24"/>
      <x:c r="B92" s="24"/>
      <x:c r="C92" s="24"/>
      <x:c r="D92" s="24"/>
      <x:c r="E92" s="40"/>
      <x:c r="F92" s="40"/>
      <x:c r="G92" s="40"/>
      <x:c r="H92" s="24"/>
      <x:c r="I92" s="24"/>
    </x:row>
    <x:row r="93">
      <x:c r="A93" s="24"/>
      <x:c r="B93" s="24"/>
      <x:c r="C93" s="24"/>
      <x:c r="D93" s="24"/>
      <x:c r="E93" s="40"/>
      <x:c r="F93" s="40"/>
      <x:c r="G93" s="40"/>
      <x:c r="H93" s="24"/>
      <x:c r="I93" s="24"/>
    </x:row>
    <x:row r="94">
      <x:c r="A94" s="24"/>
      <x:c r="B94" s="24"/>
      <x:c r="C94" s="24"/>
      <x:c r="D94" s="24"/>
      <x:c r="E94" s="40"/>
      <x:c r="F94" s="40"/>
      <x:c r="G94" s="40"/>
      <x:c r="H94" s="24"/>
      <x:c r="I94" s="24"/>
    </x:row>
    <x:row r="95">
      <x:c r="A95" s="24"/>
      <x:c r="B95" s="24"/>
      <x:c r="C95" s="24"/>
      <x:c r="D95" s="24"/>
      <x:c r="E95" s="40"/>
      <x:c r="F95" s="40"/>
      <x:c r="G95" s="40"/>
      <x:c r="H95" s="24"/>
      <x:c r="I95" s="24"/>
    </x:row>
    <x:row r="96">
      <x:c r="A96" s="24"/>
      <x:c r="B96" s="24"/>
      <x:c r="C96" s="24"/>
      <x:c r="D96" s="24"/>
      <x:c r="E96" s="40"/>
      <x:c r="F96" s="40"/>
      <x:c r="G96" s="40"/>
      <x:c r="H96" s="24"/>
      <x:c r="I96" s="24"/>
    </x:row>
    <x:row r="97">
      <x:c r="A97" s="24"/>
      <x:c r="B97" s="24"/>
      <x:c r="C97" s="24"/>
      <x:c r="D97" s="24"/>
      <x:c r="E97" s="40"/>
      <x:c r="F97" s="40"/>
      <x:c r="G97" s="40"/>
      <x:c r="H97" s="24"/>
      <x:c r="I97" s="24"/>
    </x:row>
    <x:row r="98">
      <x:c r="A98" s="24"/>
      <x:c r="B98" s="24"/>
      <x:c r="C98" s="24"/>
      <x:c r="D98" s="24"/>
      <x:c r="E98" s="40"/>
      <x:c r="F98" s="40"/>
      <x:c r="G98" s="40"/>
      <x:c r="H98" s="24"/>
      <x:c r="I98" s="24"/>
    </x:row>
    <x:row r="99">
      <x:c r="A99" s="24"/>
      <x:c r="B99" s="24"/>
      <x:c r="C99" s="24"/>
      <x:c r="D99" s="24"/>
      <x:c r="E99" s="40"/>
      <x:c r="F99" s="40"/>
      <x:c r="G99" s="40"/>
      <x:c r="H99" s="24"/>
      <x:c r="I99" s="24"/>
    </x:row>
    <x:row r="100">
      <x:c r="A100" s="24"/>
      <x:c r="B100" s="24"/>
      <x:c r="C100" s="24"/>
      <x:c r="D100" s="24"/>
      <x:c r="E100" s="40"/>
      <x:c r="F100" s="40"/>
      <x:c r="G100" s="40"/>
      <x:c r="H100" s="24"/>
      <x:c r="I100" s="24"/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78ef865ffb5045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  <x:col min="7" max="7" width="4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35" hidden="0" customWidth="1"/>
    <x:col min="34" max="34" width="45" hidden="0" customWidth="1"/>
    <x:col min="35" max="35" width="35" hidden="0" customWidth="1"/>
  </x:cols>
  <x:sheetData>
    <x:row r="1" ht="24" customHeight="1">
      <x:c r="A1" s="5" t="str">
        <x:v>Modelo de candidatos a Bota de Oro 2026</x:v>
      </x:c>
    </x:row>
    <x:row r="2">
      <x:c r="A2" s="11" t="str">
        <x:v>Ranking calculado con datos de temporada 2025/26 y supuestos editables. Las columnas con URLs permiten auditar cada dato. Cambia supuestos de partidos/minutos/penales y el ranking se recalcula.</x:v>
      </x:c>
    </x:row>
    <x:row r="5">
      <x:c r="A5" s="18" t="str">
        <x:v>Jugador</x:v>
      </x:c>
      <x:c r="B5" s="18" t="str">
        <x:v>Selección</x:v>
      </x:c>
      <x:c r="C5" s="18" t="str">
        <x:v>Posición</x:v>
      </x:c>
      <x:c r="D5" s="18" t="str">
        <x:v>Club</x:v>
      </x:c>
      <x:c r="E5" s="18" t="str">
        <x:v>Competencia fuente</x:v>
      </x:c>
      <x:c r="F5" s="18" t="str">
        <x:v>Fuente plantilla FIFA</x:v>
      </x:c>
      <x:c r="G5" s="18" t="str">
        <x:v>Fuente stats liga</x:v>
      </x:c>
      <x:c r="H5" s="18" t="str">
        <x:v>Goles liga</x:v>
      </x:c>
      <x:c r="I5" s="18" t="str">
        <x:v>Partidos liga</x:v>
      </x:c>
      <x:c r="J5" s="18" t="str">
        <x:v>Minutos liga</x:v>
      </x:c>
      <x:c r="K5" s="18" t="str">
        <x:v>Goles liga / 90</x:v>
      </x:c>
      <x:c r="L5" s="18" t="str">
        <x:v>Goles continentales</x:v>
      </x:c>
      <x:c r="M5" s="18" t="str">
        <x:v>Partidos continentales</x:v>
      </x:c>
      <x:c r="N5" s="18" t="str">
        <x:v>Minutos continentales</x:v>
      </x:c>
      <x:c r="O5" s="18" t="str">
        <x:v>Goles cont. / 90</x:v>
      </x:c>
      <x:c r="P5" s="18" t="str">
        <x:v>xG/npxG por 90 (opcional)</x:v>
      </x:c>
      <x:c r="Q5" s="18" t="str">
        <x:v>Goles selección recientes</x:v>
      </x:c>
      <x:c r="R5" s="18" t="str">
        <x:v>Partidos selección recientes</x:v>
      </x:c>
      <x:c r="S5" s="18" t="str">
        <x:v>Goles sel. / partido</x:v>
      </x:c>
      <x:c r="T5" s="18" t="str">
        <x:v>Confianza rol penales (0-1)</x:v>
      </x:c>
      <x:c r="U5" s="18" t="str">
        <x:v>Conversión penales (0-1)</x:v>
      </x:c>
      <x:c r="V5" s="18" t="str">
        <x:v>Penales equipo esperados</x:v>
      </x:c>
      <x:c r="W5" s="18" t="str">
        <x:v>Partidos esperados equipo</x:v>
      </x:c>
      <x:c r="X5" s="18" t="str">
        <x:v>Minutos esperados / partido</x:v>
      </x:c>
      <x:c r="Y5" s="18" t="str">
        <x:v>Ajuste ataque equipo</x:v>
      </x:c>
      <x:c r="Z5" s="18" t="str">
        <x:v>Ajuste grupo</x:v>
      </x:c>
      <x:c r="AA5" s="18" t="str">
        <x:v>Tasa ponderada / 90</x:v>
      </x:c>
      <x:c r="AB5" s="18" t="str">
        <x:v>EG juego abierto</x:v>
      </x:c>
      <x:c r="AC5" s="18" t="str">
        <x:v>EG penales</x:v>
      </x:c>
      <x:c r="AD5" s="18" t="str">
        <x:v>EG total</x:v>
      </x:c>
      <x:c r="AE5" s="18" t="str">
        <x:v>Ranking modelo</x:v>
      </x:c>
      <x:c r="AF5" s="18" t="str">
        <x:v>Calidad del dato</x:v>
      </x:c>
      <x:c r="AG5" s="18" t="str">
        <x:v>Notas</x:v>
      </x:c>
      <x:c r="AH5" s="18" t="str">
        <x:v>Fuente extra URL</x:v>
      </x:c>
      <x:c r="AI5" s="18" t="str">
        <x:v>Chequeos / supuestos</x:v>
      </x:c>
    </x:row>
    <x:row r="6">
      <x:c r="A6" s="24" t="str">
        <x:v>Kylian Mbappé</x:v>
      </x:c>
      <x:c r="B6" s="24" t="str">
        <x:v>France</x:v>
      </x:c>
      <x:c r="C6" s="24" t="str">
        <x:v>FW</x:v>
      </x:c>
      <x:c r="D6" s="24" t="str">
        <x:v>Real Madrid</x:v>
      </x:c>
      <x:c r="E6" s="24" t="str">
        <x:v>LaLiga + UEFA Champions League</x:v>
      </x:c>
      <x:c r="F6" s="46" t="str">
        <x:v>https://fdp.fifa.org/assetspublic/ce281/pdf/SquadLists-English.pdf</x:v>
      </x:c>
      <x:c r="G6" s="46" t="str">
        <x:v>https://www.laliga.com/en-GB/stats/laliga-easports/scorers</x:v>
      </x:c>
      <x:c r="H6" s="40" t="n">
        <x:v>25</x:v>
      </x:c>
      <x:c r="I6" s="40" t="n">
        <x:v>31</x:v>
      </x:c>
      <x:c r="J6" s="40" t="n">
        <x:v>2604</x:v>
      </x:c>
      <x:c r="K6" s="40" t="n">
        <x:f>IFERROR(IF(J6&gt;0,H6/J6*90,IF(I6&gt;0,H6/I6,0)),0)</x:f>
        <x:v>0.8640552995391706</x:v>
      </x:c>
      <x:c r="L6" s="40" t="n">
        <x:v>15</x:v>
      </x:c>
      <x:c r="M6" s="40" t="n">
        <x:v>11</x:v>
      </x:c>
      <x:c r="N6" s="40" t="n">
        <x:v>912</x:v>
      </x:c>
      <x:c r="O6" s="40" t="n">
        <x:f>IFERROR(IF(N6&gt;0,L6/N6*90,IF(M6&gt;0,L6/M6,0)),0)</x:f>
        <x:v>1.4802631578947367</x:v>
      </x:c>
      <x:c r="P6" s="40"/>
      <x:c r="Q6" s="40"/>
      <x:c r="R6" s="40"/>
      <x:c r="S6" s="40" t="n">
        <x:f>IFERROR(Q6/R6,0)</x:f>
        <x:v>0</x:v>
      </x:c>
      <x:c r="T6" s="48" t="n">
        <x:v>0.8</x:v>
      </x:c>
      <x:c r="U6" s="48" t="n">
        <x:v>0.85</x:v>
      </x:c>
      <x:c r="V6" s="48" t="n">
        <x:v>0.8</x:v>
      </x:c>
      <x:c r="W6" s="49" t="n">
        <x:f>IFERROR(VLOOKUP(B6,'03_Selecciones'!$A$6:$I$13,5,FALSE),0)</x:f>
        <x:v>6.2</x:v>
      </x:c>
      <x:c r="X6" s="49" t="n">
        <x:v>85</x:v>
      </x:c>
      <x:c r="Y6" s="40" t="n">
        <x:f>IFERROR(VLOOKUP(B6,'03_Selecciones'!$A$6:$I$13,6,FALSE),1)</x:f>
        <x:v>1.18</x:v>
      </x:c>
      <x:c r="Z6" s="40" t="n">
        <x:f>IFERROR(VLOOKUP(B6,'03_Selecciones'!$A$6:$I$13,7,FALSE),1)</x:f>
        <x:v>0.98</x:v>
      </x:c>
      <x:c r="AA6" s="40" t="n">
        <x:f>IFERROR((K6*'02_Inputs'!$B$6+O6*'02_Inputs'!$B$7+P6*'02_Inputs'!$B$8+S6*'02_Inputs'!$B$9)/(IF(K6&gt;0,'02_Inputs'!$B$6,0)+IF(O6&gt;0,'02_Inputs'!$B$7,0)+IF(P6&gt;0,'02_Inputs'!$B$8,0)+IF(S6&gt;0,'02_Inputs'!$B$9,0)),0)</x:f>
        <x:v>1.0841295346661586</x:v>
      </x:c>
      <x:c r="AB6" s="40" t="n">
        <x:f>AA6*(W6*X6/90)*Y6*Z6*'02_Inputs'!$B$10</x:f>
        <x:v>7.341036184210527</x:v>
      </x:c>
      <x:c r="AC6" s="40" t="n">
        <x:f>T6*U6*V6</x:f>
        <x:v>0.544</x:v>
      </x:c>
      <x:c r="AD6" s="40" t="n">
        <x:f>AB6+AC6</x:f>
        <x:v>7.885036184210527</x:v>
      </x:c>
      <x:c r="AE6" s="44" t="n">
        <x:f>RANK.EQ(AD6,$AD$6:$AD$18,0)</x:f>
        <x:v>2</x:v>
      </x:c>
      <x:c r="AF6" s="24" t="str">
        <x:v>Alta</x:v>
      </x:c>
      <x:c r="AG6" s="24" t="str">
        <x:v>Base club muy fuerte; confirmar penales Francia.</x:v>
      </x:c>
      <x:c r="AH6" s="46" t="str">
        <x:v>https://www.uefa.com/uefachampionsleague/clubs/players/250076574--kylian-mbappe/</x:v>
      </x:c>
      <x:c r="AI6" s="46" t="str">
        <x:v>Supuestos editables en 02_Inputs / 03_Selecciones.</x:v>
      </x:c>
    </x:row>
    <x:row r="7">
      <x:c r="A7" s="24" t="str">
        <x:v>Harry Kane</x:v>
      </x:c>
      <x:c r="B7" s="24" t="str">
        <x:v>England</x:v>
      </x:c>
      <x:c r="C7" s="24" t="str">
        <x:v>FW</x:v>
      </x:c>
      <x:c r="D7" s="24" t="str">
        <x:v>Bayern München</x:v>
      </x:c>
      <x:c r="E7" s="24" t="str">
        <x:v>Bundesliga + UEFA Champions League</x:v>
      </x:c>
      <x:c r="F7" s="46" t="str">
        <x:v>https://fdp.fifa.org/assetspublic/ce281/pdf/SquadLists-English.pdf</x:v>
      </x:c>
      <x:c r="G7" s="46" t="str">
        <x:v>https://www.bundesliga.com/en/player/harry-kane</x:v>
      </x:c>
      <x:c r="H7" s="40" t="n">
        <x:v>36</x:v>
      </x:c>
      <x:c r="I7" s="40" t="n">
        <x:v>31</x:v>
      </x:c>
      <x:c r="J7" s="40"/>
      <x:c r="K7" s="40" t="n">
        <x:f>IFERROR(IF(J7&gt;0,H7/J7*90,IF(I7&gt;0,H7/I7,0)),0)</x:f>
        <x:v>1.1612903225806452</x:v>
      </x:c>
      <x:c r="L7" s="40" t="n">
        <x:v>14</x:v>
      </x:c>
      <x:c r="M7" s="40" t="n">
        <x:v>13</x:v>
      </x:c>
      <x:c r="N7" s="40"/>
      <x:c r="O7" s="40" t="n">
        <x:f>IFERROR(IF(N7&gt;0,L7/N7*90,IF(M7&gt;0,L7/M7,0)),0)</x:f>
        <x:v>1.0769230769230769</x:v>
      </x:c>
      <x:c r="P7" s="40"/>
      <x:c r="Q7" s="40"/>
      <x:c r="R7" s="40"/>
      <x:c r="S7" s="40" t="n">
        <x:f>IFERROR(Q7/R7,0)</x:f>
        <x:v>0</x:v>
      </x:c>
      <x:c r="T7" s="48" t="n">
        <x:v>1</x:v>
      </x:c>
      <x:c r="U7" s="48" t="n">
        <x:v>0.9090909090909091</x:v>
      </x:c>
      <x:c r="V7" s="48" t="n">
        <x:v>0.9</x:v>
      </x:c>
      <x:c r="W7" s="49" t="n">
        <x:f>IFERROR(VLOOKUP(B7,'03_Selecciones'!$A$6:$I$13,5,FALSE),0)</x:f>
        <x:v>6</x:v>
      </x:c>
      <x:c r="X7" s="49" t="n">
        <x:v>88</x:v>
      </x:c>
      <x:c r="Y7" s="40" t="n">
        <x:f>IFERROR(VLOOKUP(B7,'03_Selecciones'!$A$6:$I$13,6,FALSE),1)</x:f>
        <x:v>1.14</x:v>
      </x:c>
      <x:c r="Z7" s="40" t="n">
        <x:f>IFERROR(VLOOKUP(B7,'03_Selecciones'!$A$6:$I$13,7,FALSE),1)</x:f>
        <x:v>1.02</x:v>
      </x:c>
      <x:c r="AA7" s="40" t="n">
        <x:f>IFERROR((K7*'02_Inputs'!$B$6+O7*'02_Inputs'!$B$7+P7*'02_Inputs'!$B$8+S7*'02_Inputs'!$B$9)/(IF(K7&gt;0,'02_Inputs'!$B$6,0)+IF(O7&gt;0,'02_Inputs'!$B$7,0)+IF(P7&gt;0,'02_Inputs'!$B$8,0)+IF(S7&gt;0,'02_Inputs'!$B$9,0)),0)</x:f>
        <x:v>1.131159163417228</x:v>
      </x:c>
      <x:c r="AB7" s="40" t="n">
        <x:f>AA7*(W7*X7/90)*Y7*Z7*'02_Inputs'!$B$10</x:f>
        <x:v>7.716496334633108</x:v>
      </x:c>
      <x:c r="AC7" s="40" t="n">
        <x:f>T7*U7*V7</x:f>
        <x:v>0.8181818181818181</x:v>
      </x:c>
      <x:c r="AD7" s="40" t="n">
        <x:f>AB7+AC7</x:f>
        <x:v>8.534678152814926</x:v>
      </x:c>
      <x:c r="AE7" s="44" t="n">
        <x:f>RANK.EQ(AD7,$AD$6:$AD$18,0)</x:f>
        <x:v>1</x:v>
      </x:c>
      <x:c r="AF7" s="24" t="str">
        <x:v>Alta</x:v>
      </x:c>
      <x:c r="AG7" s="24" t="str">
        <x:v>Penales y titularidad muy fuertes; minutos UCL sin cargar.</x:v>
      </x:c>
      <x:c r="AH7" s="46" t="str">
        <x:v>https://www.uefa.com/uefachampionsleague/top-scorer/</x:v>
      </x:c>
      <x:c r="AI7" s="46" t="str">
        <x:v>Supuestos editables en 02_Inputs / 03_Selecciones.</x:v>
      </x:c>
    </x:row>
    <x:row r="8">
      <x:c r="A8" s="24" t="str">
        <x:v>Erling Haaland</x:v>
      </x:c>
      <x:c r="B8" s="24" t="str">
        <x:v>Norway</x:v>
      </x:c>
      <x:c r="C8" s="24" t="str">
        <x:v>FW</x:v>
      </x:c>
      <x:c r="D8" s="24" t="str">
        <x:v>Manchester City</x:v>
      </x:c>
      <x:c r="E8" s="24" t="str">
        <x:v>Premier League + UEFA Champions League</x:v>
      </x:c>
      <x:c r="F8" s="46" t="str">
        <x:v>https://fdp.fifa.org/assetspublic/ce281/pdf/SquadLists-English.pdf</x:v>
      </x:c>
      <x:c r="G8" s="46" t="str">
        <x:v>https://www.premierleague.com/en/news/4591856/haaland-wins-202526-premier-league-golden-boot-award</x:v>
      </x:c>
      <x:c r="H8" s="40" t="n">
        <x:v>27</x:v>
      </x:c>
      <x:c r="I8" s="40" t="n">
        <x:v>35</x:v>
      </x:c>
      <x:c r="J8" s="40" t="n">
        <x:v>2953</x:v>
      </x:c>
      <x:c r="K8" s="40" t="n">
        <x:f>IFERROR(IF(J8&gt;0,H8/J8*90,IF(I8&gt;0,H8/I8,0)),0)</x:f>
        <x:v>0.8228919742634608</x:v>
      </x:c>
      <x:c r="L8" s="40" t="n">
        <x:v>8</x:v>
      </x:c>
      <x:c r="M8" s="40" t="n">
        <x:v>10</x:v>
      </x:c>
      <x:c r="N8" s="40" t="n">
        <x:v>751</x:v>
      </x:c>
      <x:c r="O8" s="40" t="n">
        <x:f>IFERROR(IF(N8&gt;0,L8/N8*90,IF(M8&gt;0,L8/M8,0)),0)</x:f>
        <x:v>0.9587217043941412</x:v>
      </x:c>
      <x:c r="P8" s="40"/>
      <x:c r="Q8" s="40"/>
      <x:c r="R8" s="40"/>
      <x:c r="S8" s="40" t="n">
        <x:f>IFERROR(Q8/R8,0)</x:f>
        <x:v>0</x:v>
      </x:c>
      <x:c r="T8" s="48" t="n">
        <x:v>1</x:v>
      </x:c>
      <x:c r="U8" s="48" t="n">
        <x:v>0.85</x:v>
      </x:c>
      <x:c r="V8" s="48" t="n">
        <x:v>0.5</x:v>
      </x:c>
      <x:c r="W8" s="49" t="n">
        <x:f>IFERROR(VLOOKUP(B8,'03_Selecciones'!$A$6:$I$13,5,FALSE),0)</x:f>
        <x:v>4.1</x:v>
      </x:c>
      <x:c r="X8" s="49" t="n">
        <x:v>90</x:v>
      </x:c>
      <x:c r="Y8" s="40" t="n">
        <x:f>IFERROR(VLOOKUP(B8,'03_Selecciones'!$A$6:$I$13,6,FALSE),1)</x:f>
        <x:v>1.04</x:v>
      </x:c>
      <x:c r="Z8" s="40" t="n">
        <x:f>IFERROR(VLOOKUP(B8,'03_Selecciones'!$A$6:$I$13,7,FALSE),1)</x:f>
        <x:v>0.93</x:v>
      </x:c>
      <x:c r="AA8" s="40" t="n">
        <x:f>IFERROR((K8*'02_Inputs'!$B$6+O8*'02_Inputs'!$B$7+P8*'02_Inputs'!$B$8+S8*'02_Inputs'!$B$9)/(IF(K8&gt;0,'02_Inputs'!$B$6,0)+IF(O8&gt;0,'02_Inputs'!$B$7,0)+IF(P8&gt;0,'02_Inputs'!$B$8,0)+IF(S8&gt;0,'02_Inputs'!$B$9,0)),0)</x:f>
        <x:v>0.8714025921672752</x:v>
      </x:c>
      <x:c r="AB8" s="40" t="n">
        <x:f>AA8*(W8*X8/90)*Y8*Z8*'02_Inputs'!$B$10</x:f>
        <x:v>3.4555644072911735</x:v>
      </x:c>
      <x:c r="AC8" s="40" t="n">
        <x:f>T8*U8*V8</x:f>
        <x:v>0.425</x:v>
      </x:c>
      <x:c r="AD8" s="40" t="n">
        <x:f>AB8+AC8</x:f>
        <x:v>3.8805644072911734</x:v>
      </x:c>
      <x:c r="AE8" s="44" t="n">
        <x:f>RANK.EQ(AD8,$AD$6:$AD$18,0)</x:f>
        <x:v>6</x:v>
      </x:c>
      <x:c r="AF8" s="24" t="str">
        <x:v>Media-Alta</x:v>
      </x:c>
      <x:c r="AG8" s="24" t="str">
        <x:v>Producción élite; penalizado por menor probabilidad de avance de Noruega.</x:v>
      </x:c>
      <x:c r="AH8" s="46" t="str">
        <x:v>https://www.uefa.com/uefachampionsleague/top-scorer/</x:v>
      </x:c>
      <x:c r="AI8" s="46" t="str">
        <x:v>Supuestos editables en 02_Inputs / 03_Selecciones.</x:v>
      </x:c>
    </x:row>
    <x:row r="9">
      <x:c r="A9" s="24" t="str">
        <x:v>Cristiano Ronaldo</x:v>
      </x:c>
      <x:c r="B9" s="24" t="str">
        <x:v>Portugal</x:v>
      </x:c>
      <x:c r="C9" s="24" t="str">
        <x:v>FW</x:v>
      </x:c>
      <x:c r="D9" s="24" t="str">
        <x:v>Al Nassr</x:v>
      </x:c>
      <x:c r="E9" s="24" t="str">
        <x:v>Saudi Pro League</x:v>
      </x:c>
      <x:c r="F9" s="46" t="str">
        <x:v>https://fdp.fifa.org/assetspublic/ce281/pdf/SquadLists-English.pdf</x:v>
      </x:c>
      <x:c r="G9" s="46" t="str">
        <x:v>https://www.spl.com.sa/en/players/80466/cristiano-ronaldo</x:v>
      </x:c>
      <x:c r="H9" s="40" t="n">
        <x:v>28</x:v>
      </x:c>
      <x:c r="I9" s="40" t="n">
        <x:v>30</x:v>
      </x:c>
      <x:c r="J9" s="40" t="n">
        <x:v>2610</x:v>
      </x:c>
      <x:c r="K9" s="40" t="n">
        <x:f>IFERROR(IF(J9&gt;0,H9/J9*90,IF(I9&gt;0,H9/I9,0)),0)</x:f>
        <x:v>0.9655172413793103</x:v>
      </x:c>
      <x:c r="L9" s="40"/>
      <x:c r="M9" s="40"/>
      <x:c r="N9" s="40"/>
      <x:c r="O9" s="40" t="n">
        <x:f>IFERROR(IF(N9&gt;0,L9/N9*90,IF(M9&gt;0,L9/M9,0)),0)</x:f>
        <x:v>0</x:v>
      </x:c>
      <x:c r="P9" s="40"/>
      <x:c r="Q9" s="40"/>
      <x:c r="R9" s="40"/>
      <x:c r="S9" s="40" t="n">
        <x:f>IFERROR(Q9/R9,0)</x:f>
        <x:v>0</x:v>
      </x:c>
      <x:c r="T9" s="48" t="n">
        <x:v>1</x:v>
      </x:c>
      <x:c r="U9" s="48" t="n">
        <x:v>0.85</x:v>
      </x:c>
      <x:c r="V9" s="48" t="n">
        <x:v>0.85</x:v>
      </x:c>
      <x:c r="W9" s="49" t="n">
        <x:f>IFERROR(VLOOKUP(B9,'03_Selecciones'!$A$6:$I$13,5,FALSE),0)</x:f>
        <x:v>5.6</x:v>
      </x:c>
      <x:c r="X9" s="49" t="n">
        <x:v>82</x:v>
      </x:c>
      <x:c r="Y9" s="40" t="n">
        <x:f>IFERROR(VLOOKUP(B9,'03_Selecciones'!$A$6:$I$13,6,FALSE),1)</x:f>
        <x:v>1.12</x:v>
      </x:c>
      <x:c r="Z9" s="40" t="n">
        <x:f>IFERROR(VLOOKUP(B9,'03_Selecciones'!$A$6:$I$13,7,FALSE),1)</x:f>
        <x:v>1.04</x:v>
      </x:c>
      <x:c r="AA9" s="40" t="n">
        <x:f>IFERROR((K9*'02_Inputs'!$B$6+O9*'02_Inputs'!$B$7+P9*'02_Inputs'!$B$8+S9*'02_Inputs'!$B$9)/(IF(K9&gt;0,'02_Inputs'!$B$6,0)+IF(O9&gt;0,'02_Inputs'!$B$7,0)+IF(P9&gt;0,'02_Inputs'!$B$8,0)+IF(S9&gt;0,'02_Inputs'!$B$9,0)),0)</x:f>
        <x:v>0.9655172413793103</x:v>
      </x:c>
      <x:c r="AB9" s="40" t="n">
        <x:f>AA9*(W9*X9/90)*Y9*Z9*'02_Inputs'!$B$10</x:f>
        <x:v>5.73813504980843</x:v>
      </x:c>
      <x:c r="AC9" s="40" t="n">
        <x:f>T9*U9*V9</x:f>
        <x:v>0.7224999999999999</x:v>
      </x:c>
      <x:c r="AD9" s="40" t="n">
        <x:f>AB9+AC9</x:f>
        <x:v>6.46063504980843</x:v>
      </x:c>
      <x:c r="AE9" s="44" t="n">
        <x:f>RANK.EQ(AD9,$AD$6:$AD$18,0)</x:f>
        <x:v>3</x:v>
      </x:c>
      <x:c r="AF9" s="24" t="str">
        <x:v>Media</x:v>
      </x:c>
      <x:c r="AG9" s="24" t="str">
        <x:v>Datos de liga fiables; ajuste por edad/minutos debe revisarse partido a partido.</x:v>
      </x:c>
      <x:c r="AH9" s="46" t="str">
        <x:v>https://www.spl.com.sa/en/players/80466/cristiano-ronaldo</x:v>
      </x:c>
      <x:c r="AI9" s="46" t="str">
        <x:v>Supuestos editables en 02_Inputs / 03_Selecciones.</x:v>
      </x:c>
    </x:row>
    <x:row r="10">
      <x:c r="A10" s="24" t="str">
        <x:v>Lionel Messi</x:v>
      </x:c>
      <x:c r="B10" s="24" t="str">
        <x:v>Argentina</x:v>
      </x:c>
      <x:c r="C10" s="24" t="str">
        <x:v>FW/AM</x:v>
      </x:c>
      <x:c r="D10" s="24" t="str">
        <x:v>Inter Miami</x:v>
      </x:c>
      <x:c r="E10" s="24" t="str">
        <x:v>MLS</x:v>
      </x:c>
      <x:c r="F10" s="46" t="str">
        <x:v>https://fdp.fifa.org/assetspublic/ce281/pdf/SquadLists-English.pdf</x:v>
      </x:c>
      <x:c r="G10" s="46" t="str">
        <x:v>https://www.intermiamicf.com/players/lionel-messi/stats/</x:v>
      </x:c>
      <x:c r="H10" s="40" t="n">
        <x:v>12</x:v>
      </x:c>
      <x:c r="I10" s="40" t="n">
        <x:v>14</x:v>
      </x:c>
      <x:c r="J10" s="40" t="n">
        <x:v>1243</x:v>
      </x:c>
      <x:c r="K10" s="40" t="n">
        <x:f>IFERROR(IF(J10&gt;0,H10/J10*90,IF(I10&gt;0,H10/I10,0)),0)</x:f>
        <x:v>0.8688656476267095</x:v>
      </x:c>
      <x:c r="L10" s="40"/>
      <x:c r="M10" s="40"/>
      <x:c r="N10" s="40"/>
      <x:c r="O10" s="40" t="n">
        <x:f>IFERROR(IF(N10&gt;0,L10/N10*90,IF(M10&gt;0,L10/M10,0)),0)</x:f>
        <x:v>0</x:v>
      </x:c>
      <x:c r="P10" s="40"/>
      <x:c r="Q10" s="40"/>
      <x:c r="R10" s="40"/>
      <x:c r="S10" s="40" t="n">
        <x:f>IFERROR(Q10/R10,0)</x:f>
        <x:v>0</x:v>
      </x:c>
      <x:c r="T10" s="48" t="n">
        <x:v>0.75</x:v>
      </x:c>
      <x:c r="U10" s="48" t="n">
        <x:v>0.85</x:v>
      </x:c>
      <x:c r="V10" s="48" t="n">
        <x:v>0.7</x:v>
      </x:c>
      <x:c r="W10" s="49" t="n">
        <x:f>IFERROR(VLOOKUP(B10,'03_Selecciones'!$A$6:$I$13,5,FALSE),0)</x:f>
        <x:v>6.1</x:v>
      </x:c>
      <x:c r="X10" s="49" t="n">
        <x:v>78</x:v>
      </x:c>
      <x:c r="Y10" s="40" t="n">
        <x:f>IFERROR(VLOOKUP(B10,'03_Selecciones'!$A$6:$I$13,6,FALSE),1)</x:f>
        <x:v>1.15</x:v>
      </x:c>
      <x:c r="Z10" s="40" t="n">
        <x:f>IFERROR(VLOOKUP(B10,'03_Selecciones'!$A$6:$I$13,7,FALSE),1)</x:f>
        <x:v>1.05</x:v>
      </x:c>
      <x:c r="AA10" s="40" t="n">
        <x:f>IFERROR((K10*'02_Inputs'!$B$6+O10*'02_Inputs'!$B$7+P10*'02_Inputs'!$B$8+S10*'02_Inputs'!$B$9)/(IF(K10&gt;0,'02_Inputs'!$B$6,0)+IF(O10&gt;0,'02_Inputs'!$B$7,0)+IF(P10&gt;0,'02_Inputs'!$B$8,0)+IF(S10&gt;0,'02_Inputs'!$B$9,0)),0)</x:f>
        <x:v>0.8688656476267094</x:v>
      </x:c>
      <x:c r="AB10" s="40" t="n">
        <x:f>AA10*(W10*X10/90)*Y10*Z10*'02_Inputs'!$B$10</x:f>
        <x:v>5.546534191472243</x:v>
      </x:c>
      <x:c r="AC10" s="40" t="n">
        <x:f>T10*U10*V10</x:f>
        <x:v>0.4462499999999999</x:v>
      </x:c>
      <x:c r="AD10" s="40" t="n">
        <x:f>AB10+AC10</x:f>
        <x:v>5.992784191472243</x:v>
      </x:c>
      <x:c r="AE10" s="44" t="n">
        <x:f>RANK.EQ(AD10,$AD$6:$AD$18,0)</x:f>
        <x:v>4</x:v>
      </x:c>
      <x:c r="AF10" s="24" t="str">
        <x:v>Media</x:v>
      </x:c>
      <x:c r="AG10" s="24" t="str">
        <x:v>Modelo castiga minutos; revisar estado físico antes del debut.</x:v>
      </x:c>
      <x:c r="AH10" s="46" t="str">
        <x:v>https://www.intermiamicf.com/players/lionel-messi/stats/</x:v>
      </x:c>
      <x:c r="AI10" s="46" t="str">
        <x:v>Supuestos editables en 02_Inputs / 03_Selecciones.</x:v>
      </x:c>
    </x:row>
    <x:row r="11">
      <x:c r="A11" s="24" t="str">
        <x:v>Lamine Yamal</x:v>
      </x:c>
      <x:c r="B11" s="24" t="str">
        <x:v>Spain</x:v>
      </x:c>
      <x:c r="C11" s="24" t="str">
        <x:v>FW</x:v>
      </x:c>
      <x:c r="D11" s="24" t="str">
        <x:v>FC Barcelona</x:v>
      </x:c>
      <x:c r="E11" s="24" t="str">
        <x:v>LaLiga</x:v>
      </x:c>
      <x:c r="F11" s="46" t="str">
        <x:v>https://fdp.fifa.org/assetspublic/ce281/pdf/SquadLists-English.pdf</x:v>
      </x:c>
      <x:c r="G11" s="46" t="str">
        <x:v>https://www.laliga.com/en-GB/stats/laliga-easports/scorers</x:v>
      </x:c>
      <x:c r="H11" s="40" t="n">
        <x:v>16</x:v>
      </x:c>
      <x:c r="I11" s="40" t="n">
        <x:v>28</x:v>
      </x:c>
      <x:c r="J11" s="40" t="n">
        <x:v>2262</x:v>
      </x:c>
      <x:c r="K11" s="40" t="n">
        <x:f>IFERROR(IF(J11&gt;0,H11/J11*90,IF(I11&gt;0,H11/I11,0)),0)</x:f>
        <x:v>0.636604774535809</x:v>
      </x:c>
      <x:c r="L11" s="40"/>
      <x:c r="M11" s="40"/>
      <x:c r="N11" s="40"/>
      <x:c r="O11" s="40" t="n">
        <x:f>IFERROR(IF(N11&gt;0,L11/N11*90,IF(M11&gt;0,L11/M11,0)),0)</x:f>
        <x:v>0</x:v>
      </x:c>
      <x:c r="P11" s="40"/>
      <x:c r="Q11" s="40"/>
      <x:c r="R11" s="40"/>
      <x:c r="S11" s="40" t="n">
        <x:f>IFERROR(Q11/R11,0)</x:f>
        <x:v>0</x:v>
      </x:c>
      <x:c r="T11" s="48" t="n">
        <x:v>0.25</x:v>
      </x:c>
      <x:c r="U11" s="48" t="n">
        <x:v>0.8</x:v>
      </x:c>
      <x:c r="V11" s="48" t="n">
        <x:v>0.35</x:v>
      </x:c>
      <x:c r="W11" s="49" t="n">
        <x:f>IFERROR(VLOOKUP(B11,'03_Selecciones'!$A$6:$I$13,5,FALSE),0)</x:f>
        <x:v>6.4</x:v>
      </x:c>
      <x:c r="X11" s="49" t="n">
        <x:v>80</x:v>
      </x:c>
      <x:c r="Y11" s="40" t="n">
        <x:f>IFERROR(VLOOKUP(B11,'03_Selecciones'!$A$6:$I$13,6,FALSE),1)</x:f>
        <x:v>1.17</x:v>
      </x:c>
      <x:c r="Z11" s="40" t="n">
        <x:f>IFERROR(VLOOKUP(B11,'03_Selecciones'!$A$6:$I$13,7,FALSE),1)</x:f>
        <x:v>1.03</x:v>
      </x:c>
      <x:c r="AA11" s="40" t="n">
        <x:f>IFERROR((K11*'02_Inputs'!$B$6+O11*'02_Inputs'!$B$7+P11*'02_Inputs'!$B$8+S11*'02_Inputs'!$B$9)/(IF(K11&gt;0,'02_Inputs'!$B$6,0)+IF(O11&gt;0,'02_Inputs'!$B$7,0)+IF(P11&gt;0,'02_Inputs'!$B$8,0)+IF(S11&gt;0,'02_Inputs'!$B$9,0)),0)</x:f>
        <x:v>0.6366047745358091</x:v>
      </x:c>
      <x:c r="AB11" s="40" t="n">
        <x:f>AA11*(W11*X11/90)*Y11*Z11*'02_Inputs'!$B$10</x:f>
        <x:v>4.364358620689656</x:v>
      </x:c>
      <x:c r="AC11" s="40" t="n">
        <x:f>T11*U11*V11</x:f>
        <x:v>0.06999999999999999</x:v>
      </x:c>
      <x:c r="AD11" s="40" t="n">
        <x:f>AB11+AC11</x:f>
        <x:v>4.434358620689657</x:v>
      </x:c>
      <x:c r="AE11" s="44" t="n">
        <x:f>RANK.EQ(AD11,$AD$6:$AD$18,0)</x:f>
        <x:v>5</x:v>
      </x:c>
      <x:c r="AF11" s="24" t="str">
        <x:v>Media</x:v>
      </x:c>
      <x:c r="AG11" s="24" t="str">
        <x:v>Grandísimo talento pero no perfil de 9; penales bajos.</x:v>
      </x:c>
      <x:c r="AH11" s="46" t="str">
        <x:v>https://www.laliga.com/en-GB/stats/laliga-easports/scorers</x:v>
      </x:c>
      <x:c r="AI11" s="46" t="str">
        <x:v>Supuestos editables en 02_Inputs / 03_Selecciones.</x:v>
      </x:c>
    </x:row>
    <x:row r="12">
      <x:c r="A12" s="24" t="str">
        <x:v>Vinícius Jr.</x:v>
      </x:c>
      <x:c r="B12" s="24" t="str">
        <x:v>Brazil</x:v>
      </x:c>
      <x:c r="C12" s="24" t="str">
        <x:v>FW</x:v>
      </x:c>
      <x:c r="D12" s="24" t="str">
        <x:v>Real Madrid</x:v>
      </x:c>
      <x:c r="E12" s="24" t="str">
        <x:v>LaLiga</x:v>
      </x:c>
      <x:c r="F12" s="46" t="str">
        <x:v>https://fdp.fifa.org/assetspublic/ce281/pdf/SquadLists-English.pdf</x:v>
      </x:c>
      <x:c r="G12" s="46" t="str">
        <x:v>https://www.laliga.com/en-GB/stats/laliga-easports/scorers</x:v>
      </x:c>
      <x:c r="H12" s="40" t="n">
        <x:v>16</x:v>
      </x:c>
      <x:c r="I12" s="40" t="n">
        <x:v>36</x:v>
      </x:c>
      <x:c r="J12" s="40"/>
      <x:c r="K12" s="40" t="n">
        <x:f>IFERROR(IF(J12&gt;0,H12/J12*90,IF(I12&gt;0,H12/I12,0)),0)</x:f>
        <x:v>0.4444444444444444</x:v>
      </x:c>
      <x:c r="L12" s="40"/>
      <x:c r="M12" s="40"/>
      <x:c r="N12" s="40"/>
      <x:c r="O12" s="40" t="n">
        <x:f>IFERROR(IF(N12&gt;0,L12/N12*90,IF(M12&gt;0,L12/M12,0)),0)</x:f>
        <x:v>0</x:v>
      </x:c>
      <x:c r="P12" s="40"/>
      <x:c r="Q12" s="40"/>
      <x:c r="R12" s="40"/>
      <x:c r="S12" s="40" t="n">
        <x:f>IFERROR(Q12/R12,0)</x:f>
        <x:v>0</x:v>
      </x:c>
      <x:c r="T12" s="48" t="n">
        <x:v>0.35</x:v>
      </x:c>
      <x:c r="U12" s="48" t="n">
        <x:v>0.8</x:v>
      </x:c>
      <x:c r="V12" s="48" t="n">
        <x:v>0.45</x:v>
      </x:c>
      <x:c r="W12" s="49" t="n">
        <x:f>IFERROR(VLOOKUP(B12,'03_Selecciones'!$A$6:$I$13,5,FALSE),0)</x:f>
        <x:v>5.8</x:v>
      </x:c>
      <x:c r="X12" s="49" t="n">
        <x:v>84</x:v>
      </x:c>
      <x:c r="Y12" s="40" t="n">
        <x:f>IFERROR(VLOOKUP(B12,'03_Selecciones'!$A$6:$I$13,6,FALSE),1)</x:f>
        <x:v>1.16</x:v>
      </x:c>
      <x:c r="Z12" s="40" t="n">
        <x:f>IFERROR(VLOOKUP(B12,'03_Selecciones'!$A$6:$I$13,7,FALSE),1)</x:f>
        <x:v>1.06</x:v>
      </x:c>
      <x:c r="AA12" s="40" t="n">
        <x:f>IFERROR((K12*'02_Inputs'!$B$6+O12*'02_Inputs'!$B$7+P12*'02_Inputs'!$B$8+S12*'02_Inputs'!$B$9)/(IF(K12&gt;0,'02_Inputs'!$B$6,0)+IF(O12&gt;0,'02_Inputs'!$B$7,0)+IF(P12&gt;0,'02_Inputs'!$B$8,0)+IF(S12&gt;0,'02_Inputs'!$B$9,0)),0)</x:f>
        <x:v>0.4444444444444444</x:v>
      </x:c>
      <x:c r="AB12" s="40" t="n">
        <x:f>AA12*(W12*X12/90)*Y12*Z12*'02_Inputs'!$B$10</x:f>
        <x:v>2.9583265185185184</x:v>
      </x:c>
      <x:c r="AC12" s="40" t="n">
        <x:f>T12*U12*V12</x:f>
        <x:v>0.126</x:v>
      </x:c>
      <x:c r="AD12" s="40" t="n">
        <x:f>AB12+AC12</x:f>
        <x:v>3.0843265185185182</x:v>
      </x:c>
      <x:c r="AE12" s="44" t="n">
        <x:f>RANK.EQ(AD12,$AD$6:$AD$18,0)</x:f>
        <x:v>9</x:v>
      </x:c>
      <x:c r="AF12" s="24" t="str">
        <x:v>Media</x:v>
      </x:c>
      <x:c r="AG12" s="24" t="str">
        <x:v>Fuente oficial de goles/apariciones; faltan minutos/penales confirmados.</x:v>
      </x:c>
      <x:c r="AH12" s="46" t="str">
        <x:v>https://www.laliga.com/en-GB/stats/laliga-easports/scorers</x:v>
      </x:c>
      <x:c r="AI12" s="46" t="str">
        <x:v>Supuestos editables en 02_Inputs / 03_Selecciones.</x:v>
      </x:c>
    </x:row>
    <x:row r="13">
      <x:c r="A13" s="24" t="str">
        <x:v>Raphinha</x:v>
      </x:c>
      <x:c r="B13" s="24" t="str">
        <x:v>Brazil</x:v>
      </x:c>
      <x:c r="C13" s="24" t="str">
        <x:v>FW</x:v>
      </x:c>
      <x:c r="D13" s="24" t="str">
        <x:v>FC Barcelona</x:v>
      </x:c>
      <x:c r="E13" s="24" t="str">
        <x:v>LaLiga</x:v>
      </x:c>
      <x:c r="F13" s="46" t="str">
        <x:v>https://fdp.fifa.org/assetspublic/ce281/pdf/SquadLists-English.pdf</x:v>
      </x:c>
      <x:c r="G13" s="46" t="str">
        <x:v>https://www.laliga.com/en-GB/stats/laliga-easports/scorers</x:v>
      </x:c>
      <x:c r="H13" s="40" t="n">
        <x:v>13</x:v>
      </x:c>
      <x:c r="I13" s="40" t="n">
        <x:v>22</x:v>
      </x:c>
      <x:c r="J13" s="40"/>
      <x:c r="K13" s="40" t="n">
        <x:f>IFERROR(IF(J13&gt;0,H13/J13*90,IF(I13&gt;0,H13/I13,0)),0)</x:f>
        <x:v>0.5909090909090909</x:v>
      </x:c>
      <x:c r="L13" s="40"/>
      <x:c r="M13" s="40"/>
      <x:c r="N13" s="40"/>
      <x:c r="O13" s="40" t="n">
        <x:f>IFERROR(IF(N13&gt;0,L13/N13*90,IF(M13&gt;0,L13/M13,0)),0)</x:f>
        <x:v>0</x:v>
      </x:c>
      <x:c r="P13" s="40"/>
      <x:c r="Q13" s="40"/>
      <x:c r="R13" s="40"/>
      <x:c r="S13" s="40" t="n">
        <x:f>IFERROR(Q13/R13,0)</x:f>
        <x:v>0</x:v>
      </x:c>
      <x:c r="T13" s="48" t="n">
        <x:v>0.25</x:v>
      </x:c>
      <x:c r="U13" s="48" t="n">
        <x:v>0.8</x:v>
      </x:c>
      <x:c r="V13" s="48" t="n">
        <x:v>0.35</x:v>
      </x:c>
      <x:c r="W13" s="49" t="n">
        <x:f>IFERROR(VLOOKUP(B13,'03_Selecciones'!$A$6:$I$13,5,FALSE),0)</x:f>
        <x:v>5.8</x:v>
      </x:c>
      <x:c r="X13" s="49" t="n">
        <x:v>78</x:v>
      </x:c>
      <x:c r="Y13" s="40" t="n">
        <x:f>IFERROR(VLOOKUP(B13,'03_Selecciones'!$A$6:$I$13,6,FALSE),1)</x:f>
        <x:v>1.16</x:v>
      </x:c>
      <x:c r="Z13" s="40" t="n">
        <x:f>IFERROR(VLOOKUP(B13,'03_Selecciones'!$A$6:$I$13,7,FALSE),1)</x:f>
        <x:v>1.06</x:v>
      </x:c>
      <x:c r="AA13" s="40" t="n">
        <x:f>IFERROR((K13*'02_Inputs'!$B$6+O13*'02_Inputs'!$B$7+P13*'02_Inputs'!$B$8+S13*'02_Inputs'!$B$9)/(IF(K13&gt;0,'02_Inputs'!$B$6,0)+IF(O13&gt;0,'02_Inputs'!$B$7,0)+IF(P13&gt;0,'02_Inputs'!$B$8,0)+IF(S13&gt;0,'02_Inputs'!$B$9,0)),0)</x:f>
        <x:v>0.5909090909090909</x:v>
      </x:c>
      <x:c r="AB13" s="40" t="n">
        <x:f>AA13*(W13*X13/90)*Y13*Z13*'02_Inputs'!$B$10</x:f>
        <x:v>3.652284606060606</x:v>
      </x:c>
      <x:c r="AC13" s="40" t="n">
        <x:f>T13*U13*V13</x:f>
        <x:v>0.06999999999999999</x:v>
      </x:c>
      <x:c r="AD13" s="40" t="n">
        <x:f>AB13+AC13</x:f>
        <x:v>3.722284606060606</x:v>
      </x:c>
      <x:c r="AE13" s="44" t="n">
        <x:f>RANK.EQ(AD13,$AD$6:$AD$18,0)</x:f>
        <x:v>8</x:v>
      </x:c>
      <x:c r="AF13" s="24" t="str">
        <x:v>Media</x:v>
      </x:c>
      <x:c r="AG13" s="24" t="str">
        <x:v>Alta producción por aparición; revisar rol titular Brasil.</x:v>
      </x:c>
      <x:c r="AH13" s="46" t="str">
        <x:v>https://www.laliga.com/en-GB/stats/laliga-easports/scorers</x:v>
      </x:c>
      <x:c r="AI13" s="46" t="str">
        <x:v>Supuestos editables en 02_Inputs / 03_Selecciones.</x:v>
      </x:c>
    </x:row>
    <x:row r="14">
      <x:c r="A14" s="24" t="str">
        <x:v>Mikel Oyarzabal</x:v>
      </x:c>
      <x:c r="B14" s="24" t="str">
        <x:v>Spain</x:v>
      </x:c>
      <x:c r="C14" s="24" t="str">
        <x:v>FW</x:v>
      </x:c>
      <x:c r="D14" s="24" t="str">
        <x:v>Real Sociedad</x:v>
      </x:c>
      <x:c r="E14" s="24" t="str">
        <x:v>LaLiga</x:v>
      </x:c>
      <x:c r="F14" s="46" t="str">
        <x:v>https://fdp.fifa.org/assetspublic/ce281/pdf/SquadLists-English.pdf</x:v>
      </x:c>
      <x:c r="G14" s="46" t="str">
        <x:v>https://www.laliga.com/en-GB/stats/laliga-easports/scorers</x:v>
      </x:c>
      <x:c r="H14" s="40" t="n">
        <x:v>15</x:v>
      </x:c>
      <x:c r="I14" s="40" t="n">
        <x:v>34</x:v>
      </x:c>
      <x:c r="J14" s="40"/>
      <x:c r="K14" s="40" t="n">
        <x:f>IFERROR(IF(J14&gt;0,H14/J14*90,IF(I14&gt;0,H14/I14,0)),0)</x:f>
        <x:v>0.4411764705882353</x:v>
      </x:c>
      <x:c r="L14" s="40"/>
      <x:c r="M14" s="40"/>
      <x:c r="N14" s="40"/>
      <x:c r="O14" s="40" t="n">
        <x:f>IFERROR(IF(N14&gt;0,L14/N14*90,IF(M14&gt;0,L14/M14,0)),0)</x:f>
        <x:v>0</x:v>
      </x:c>
      <x:c r="P14" s="40"/>
      <x:c r="Q14" s="40"/>
      <x:c r="R14" s="40"/>
      <x:c r="S14" s="40" t="n">
        <x:f>IFERROR(Q14/R14,0)</x:f>
        <x:v>0</x:v>
      </x:c>
      <x:c r="T14" s="48" t="n">
        <x:v>0.65</x:v>
      </x:c>
      <x:c r="U14" s="48" t="n">
        <x:v>0.85</x:v>
      </x:c>
      <x:c r="V14" s="48" t="n">
        <x:v>0.6</x:v>
      </x:c>
      <x:c r="W14" s="49" t="n">
        <x:f>IFERROR(VLOOKUP(B14,'03_Selecciones'!$A$6:$I$13,5,FALSE),0)</x:f>
        <x:v>6.4</x:v>
      </x:c>
      <x:c r="X14" s="49" t="n">
        <x:v>72</x:v>
      </x:c>
      <x:c r="Y14" s="40" t="n">
        <x:f>IFERROR(VLOOKUP(B14,'03_Selecciones'!$A$6:$I$13,6,FALSE),1)</x:f>
        <x:v>1.17</x:v>
      </x:c>
      <x:c r="Z14" s="40" t="n">
        <x:f>IFERROR(VLOOKUP(B14,'03_Selecciones'!$A$6:$I$13,7,FALSE),1)</x:f>
        <x:v>1.03</x:v>
      </x:c>
      <x:c r="AA14" s="40" t="n">
        <x:f>IFERROR((K14*'02_Inputs'!$B$6+O14*'02_Inputs'!$B$7+P14*'02_Inputs'!$B$8+S14*'02_Inputs'!$B$9)/(IF(K14&gt;0,'02_Inputs'!$B$6,0)+IF(O14&gt;0,'02_Inputs'!$B$7,0)+IF(P14&gt;0,'02_Inputs'!$B$8,0)+IF(S14&gt;0,'02_Inputs'!$B$9,0)),0)</x:f>
        <x:v>0.4411764705882353</x:v>
      </x:c>
      <x:c r="AB14" s="40" t="n">
        <x:f>AA14*(W14*X14/90)*Y14*Z14*'02_Inputs'!$B$10</x:f>
        <x:v>2.7221082352941175</x:v>
      </x:c>
      <x:c r="AC14" s="40" t="n">
        <x:f>T14*U14*V14</x:f>
        <x:v>0.33149999999999996</x:v>
      </x:c>
      <x:c r="AD14" s="40" t="n">
        <x:f>AB14+AC14</x:f>
        <x:v>3.0536082352941176</x:v>
      </x:c>
      <x:c r="AE14" s="44" t="n">
        <x:f>RANK.EQ(AD14,$AD$6:$AD$18,0)</x:f>
        <x:v>10</x:v>
      </x:c>
      <x:c r="AF14" s="24" t="str">
        <x:v>Media</x:v>
      </x:c>
      <x:c r="AG14" s="24" t="str">
        <x:v>Candidato por rol/penales; riesgo de minutos vs competencia interna.</x:v>
      </x:c>
      <x:c r="AH14" s="46" t="str">
        <x:v>https://www.laliga.com/en-GB/stats/laliga-easports/scorers</x:v>
      </x:c>
      <x:c r="AI14" s="46" t="str">
        <x:v>Supuestos editables en 02_Inputs / 03_Selecciones.</x:v>
      </x:c>
    </x:row>
    <x:row r="15">
      <x:c r="A15" s="24" t="str">
        <x:v>Ferran Torres</x:v>
      </x:c>
      <x:c r="B15" s="24" t="str">
        <x:v>Spain</x:v>
      </x:c>
      <x:c r="C15" s="24" t="str">
        <x:v>FW</x:v>
      </x:c>
      <x:c r="D15" s="24" t="str">
        <x:v>FC Barcelona</x:v>
      </x:c>
      <x:c r="E15" s="24" t="str">
        <x:v>LaLiga</x:v>
      </x:c>
      <x:c r="F15" s="46" t="str">
        <x:v>https://fdp.fifa.org/assetspublic/ce281/pdf/SquadLists-English.pdf</x:v>
      </x:c>
      <x:c r="G15" s="46" t="str">
        <x:v>https://www.laliga.com/en-GB/stats/laliga-easports/scorers</x:v>
      </x:c>
      <x:c r="H15" s="40" t="n">
        <x:v>16</x:v>
      </x:c>
      <x:c r="I15" s="40" t="n">
        <x:v>33</x:v>
      </x:c>
      <x:c r="J15" s="40"/>
      <x:c r="K15" s="40" t="n">
        <x:f>IFERROR(IF(J15&gt;0,H15/J15*90,IF(I15&gt;0,H15/I15,0)),0)</x:f>
        <x:v>0.48484848484848486</x:v>
      </x:c>
      <x:c r="L15" s="40"/>
      <x:c r="M15" s="40"/>
      <x:c r="N15" s="40"/>
      <x:c r="O15" s="40" t="n">
        <x:f>IFERROR(IF(N15&gt;0,L15/N15*90,IF(M15&gt;0,L15/M15,0)),0)</x:f>
        <x:v>0</x:v>
      </x:c>
      <x:c r="P15" s="40"/>
      <x:c r="Q15" s="40"/>
      <x:c r="R15" s="40"/>
      <x:c r="S15" s="40" t="n">
        <x:f>IFERROR(Q15/R15,0)</x:f>
        <x:v>0</x:v>
      </x:c>
      <x:c r="T15" s="48" t="n">
        <x:v>0.3</x:v>
      </x:c>
      <x:c r="U15" s="48" t="n">
        <x:v>0.8</x:v>
      </x:c>
      <x:c r="V15" s="48" t="n">
        <x:v>0.35</x:v>
      </x:c>
      <x:c r="W15" s="49" t="n">
        <x:f>IFERROR(VLOOKUP(B15,'03_Selecciones'!$A$6:$I$13,5,FALSE),0)</x:f>
        <x:v>6.4</x:v>
      </x:c>
      <x:c r="X15" s="49" t="n">
        <x:v>62</x:v>
      </x:c>
      <x:c r="Y15" s="40" t="n">
        <x:f>IFERROR(VLOOKUP(B15,'03_Selecciones'!$A$6:$I$13,6,FALSE),1)</x:f>
        <x:v>1.17</x:v>
      </x:c>
      <x:c r="Z15" s="40" t="n">
        <x:f>IFERROR(VLOOKUP(B15,'03_Selecciones'!$A$6:$I$13,7,FALSE),1)</x:f>
        <x:v>1.03</x:v>
      </x:c>
      <x:c r="AA15" s="40" t="n">
        <x:f>IFERROR((K15*'02_Inputs'!$B$6+O15*'02_Inputs'!$B$7+P15*'02_Inputs'!$B$8+S15*'02_Inputs'!$B$9)/(IF(K15&gt;0,'02_Inputs'!$B$6,0)+IF(O15&gt;0,'02_Inputs'!$B$7,0)+IF(P15&gt;0,'02_Inputs'!$B$8,0)+IF(S15&gt;0,'02_Inputs'!$B$9,0)),0)</x:f>
        <x:v>0.48484848484848486</x:v>
      </x:c>
      <x:c r="AB15" s="40" t="n">
        <x:f>AA15*(W15*X15/90)*Y15*Z15*'02_Inputs'!$B$10</x:f>
        <x:v>2.576073696969697</x:v>
      </x:c>
      <x:c r="AC15" s="40" t="n">
        <x:f>T15*U15*V15</x:f>
        <x:v>0.08399999999999999</x:v>
      </x:c>
      <x:c r="AD15" s="40" t="n">
        <x:f>AB15+AC15</x:f>
        <x:v>2.660073696969697</x:v>
      </x:c>
      <x:c r="AE15" s="44" t="n">
        <x:f>RANK.EQ(AD15,$AD$6:$AD$18,0)</x:f>
        <x:v>11</x:v>
      </x:c>
      <x:c r="AF15" s="24" t="str">
        <x:v>Media</x:v>
      </x:c>
      <x:c r="AG15" s="24" t="str">
        <x:v>Buen gol/aparición; gran riesgo de no jugar todos los minutos.</x:v>
      </x:c>
      <x:c r="AH15" s="46" t="str">
        <x:v>https://www.laliga.com/en-GB/stats/laliga-easports/scorers</x:v>
      </x:c>
      <x:c r="AI15" s="46" t="str">
        <x:v>Supuestos editables en 02_Inputs / 03_Selecciones.</x:v>
      </x:c>
    </x:row>
    <x:row r="16">
      <x:c r="A16" s="24" t="str">
        <x:v>Lautaro Martínez</x:v>
      </x:c>
      <x:c r="B16" s="24" t="str">
        <x:v>Argentina</x:v>
      </x:c>
      <x:c r="C16" s="24" t="str">
        <x:v>FW</x:v>
      </x:c>
      <x:c r="D16" s="24" t="str">
        <x:v>Inter</x:v>
      </x:c>
      <x:c r="E16" s="24" t="str">
        <x:v>Serie A</x:v>
      </x:c>
      <x:c r="F16" s="46" t="str">
        <x:v>https://fdp.fifa.org/assetspublic/ce281/pdf/SquadLists-English.pdf</x:v>
      </x:c>
      <x:c r="G16" s="46" t="str">
        <x:v>https://www.inter.it/en/news/lautaro-martinez-serie-a-best-striker-2025-26</x:v>
      </x:c>
      <x:c r="H16" s="40" t="n">
        <x:v>17</x:v>
      </x:c>
      <x:c r="I16" s="40" t="n">
        <x:v>30</x:v>
      </x:c>
      <x:c r="J16" s="40" t="n">
        <x:v>2158</x:v>
      </x:c>
      <x:c r="K16" s="40" t="n">
        <x:f>IFERROR(IF(J16&gt;0,H16/J16*90,IF(I16&gt;0,H16/I16,0)),0)</x:f>
        <x:v>0.7089898053753475</x:v>
      </x:c>
      <x:c r="L16" s="40"/>
      <x:c r="M16" s="40"/>
      <x:c r="N16" s="40"/>
      <x:c r="O16" s="40" t="n">
        <x:f>IFERROR(IF(N16&gt;0,L16/N16*90,IF(M16&gt;0,L16/M16,0)),0)</x:f>
        <x:v>0</x:v>
      </x:c>
      <x:c r="P16" s="40"/>
      <x:c r="Q16" s="40"/>
      <x:c r="R16" s="40"/>
      <x:c r="S16" s="40" t="n">
        <x:f>IFERROR(Q16/R16,0)</x:f>
        <x:v>0</x:v>
      </x:c>
      <x:c r="T16" s="48" t="n">
        <x:v>0.2</x:v>
      </x:c>
      <x:c r="U16" s="48" t="n">
        <x:v>0.85</x:v>
      </x:c>
      <x:c r="V16" s="48" t="n">
        <x:v>0.35</x:v>
      </x:c>
      <x:c r="W16" s="49" t="n">
        <x:f>IFERROR(VLOOKUP(B16,'03_Selecciones'!$A$6:$I$13,5,FALSE),0)</x:f>
        <x:v>6.1</x:v>
      </x:c>
      <x:c r="X16" s="49" t="n">
        <x:v>65</x:v>
      </x:c>
      <x:c r="Y16" s="40" t="n">
        <x:f>IFERROR(VLOOKUP(B16,'03_Selecciones'!$A$6:$I$13,6,FALSE),1)</x:f>
        <x:v>1.15</x:v>
      </x:c>
      <x:c r="Z16" s="40" t="n">
        <x:f>IFERROR(VLOOKUP(B16,'03_Selecciones'!$A$6:$I$13,7,FALSE),1)</x:f>
        <x:v>1.05</x:v>
      </x:c>
      <x:c r="AA16" s="40" t="n">
        <x:f>IFERROR((K16*'02_Inputs'!$B$6+O16*'02_Inputs'!$B$7+P16*'02_Inputs'!$B$8+S16*'02_Inputs'!$B$9)/(IF(K16&gt;0,'02_Inputs'!$B$6,0)+IF(O16&gt;0,'02_Inputs'!$B$7,0)+IF(P16&gt;0,'02_Inputs'!$B$8,0)+IF(S16&gt;0,'02_Inputs'!$B$9,0)),0)</x:f>
        <x:v>0.7089898053753475</x:v>
      </x:c>
      <x:c r="AB16" s="40" t="n">
        <x:f>AA16*(W16*X16/90)*Y16*Z16*'02_Inputs'!$B$10</x:f>
        <x:v>3.7716189759036145</x:v>
      </x:c>
      <x:c r="AC16" s="40" t="n">
        <x:f>T16*U16*V16</x:f>
        <x:v>0.0595</x:v>
      </x:c>
      <x:c r="AD16" s="40" t="n">
        <x:f>AB16+AC16</x:f>
        <x:v>3.8311189759036144</x:v>
      </x:c>
      <x:c r="AE16" s="44" t="n">
        <x:f>RANK.EQ(AD16,$AD$6:$AD$18,0)</x:f>
        <x:v>7</x:v>
      </x:c>
      <x:c r="AF16" s="24" t="str">
        <x:v>Media-Alta</x:v>
      </x:c>
      <x:c r="AG16" s="24" t="str">
        <x:v>Producción oficial Inter; riesgo por reparto Messi/Julián/Lautaro.</x:v>
      </x:c>
      <x:c r="AH16" s="46" t="str">
        <x:v>https://www.inter.it/en/news/lautaro-martinez-serie-a-best-striker-2025-26</x:v>
      </x:c>
      <x:c r="AI16" s="46" t="str">
        <x:v>Supuestos editables en 02_Inputs / 03_Selecciones.</x:v>
      </x:c>
    </x:row>
    <x:row r="17">
      <x:c r="A17" s="24" t="str">
        <x:v>Julián Álvarez</x:v>
      </x:c>
      <x:c r="B17" s="24" t="str">
        <x:v>Argentina</x:v>
      </x:c>
      <x:c r="C17" s="24" t="str">
        <x:v>FW</x:v>
      </x:c>
      <x:c r="D17" s="24" t="str">
        <x:v>Atlético Madrid</x:v>
      </x:c>
      <x:c r="E17" s="24" t="str">
        <x:v>LaLiga + UEFA Champions League</x:v>
      </x:c>
      <x:c r="F17" s="46" t="str">
        <x:v>https://fdp.fifa.org/assetspublic/ce281/pdf/SquadLists-English.pdf</x:v>
      </x:c>
      <x:c r="G17" s="46" t="str">
        <x:v>https://www.fotmob.com/players/846303/julian-alvarez</x:v>
      </x:c>
      <x:c r="H17" s="40" t="n">
        <x:v>8</x:v>
      </x:c>
      <x:c r="I17" s="40" t="n">
        <x:v>29</x:v>
      </x:c>
      <x:c r="J17" s="40" t="n">
        <x:v>1902</x:v>
      </x:c>
      <x:c r="K17" s="40" t="n">
        <x:f>IFERROR(IF(J17&gt;0,H17/J17*90,IF(I17&gt;0,H17/I17,0)),0)</x:f>
        <x:v>0.3785488958990536</x:v>
      </x:c>
      <x:c r="L17" s="40" t="n">
        <x:v>10</x:v>
      </x:c>
      <x:c r="M17" s="40"/>
      <x:c r="N17" s="40"/>
      <x:c r="O17" s="40" t="n">
        <x:f>IFERROR(IF(N17&gt;0,L17/N17*90,IF(M17&gt;0,L17/M17,0)),0)</x:f>
        <x:v>0</x:v>
      </x:c>
      <x:c r="P17" s="40"/>
      <x:c r="Q17" s="40"/>
      <x:c r="R17" s="40"/>
      <x:c r="S17" s="40" t="n">
        <x:f>IFERROR(Q17/R17,0)</x:f>
        <x:v>0</x:v>
      </x:c>
      <x:c r="T17" s="48" t="n">
        <x:v>0.55</x:v>
      </x:c>
      <x:c r="U17" s="48" t="n">
        <x:v>0.85</x:v>
      </x:c>
      <x:c r="V17" s="48" t="n">
        <x:v>0.6</x:v>
      </x:c>
      <x:c r="W17" s="49" t="n">
        <x:f>IFERROR(VLOOKUP(B17,'03_Selecciones'!$A$6:$I$13,5,FALSE),0)</x:f>
        <x:v>6.1</x:v>
      </x:c>
      <x:c r="X17" s="49" t="n">
        <x:v>74</x:v>
      </x:c>
      <x:c r="Y17" s="40" t="n">
        <x:f>IFERROR(VLOOKUP(B17,'03_Selecciones'!$A$6:$I$13,6,FALSE),1)</x:f>
        <x:v>1.15</x:v>
      </x:c>
      <x:c r="Z17" s="40" t="n">
        <x:f>IFERROR(VLOOKUP(B17,'03_Selecciones'!$A$6:$I$13,7,FALSE),1)</x:f>
        <x:v>1.05</x:v>
      </x:c>
      <x:c r="AA17" s="40" t="n">
        <x:f>IFERROR((K17*'02_Inputs'!$B$6+O17*'02_Inputs'!$B$7+P17*'02_Inputs'!$B$8+S17*'02_Inputs'!$B$9)/(IF(K17&gt;0,'02_Inputs'!$B$6,0)+IF(O17&gt;0,'02_Inputs'!$B$7,0)+IF(P17&gt;0,'02_Inputs'!$B$8,0)+IF(S17&gt;0,'02_Inputs'!$B$9,0)),0)</x:f>
        <x:v>0.3785488958990536</x:v>
      </x:c>
      <x:c r="AB17" s="40" t="n">
        <x:f>AA17*(W17*X17/90)*Y17*Z17*'02_Inputs'!$B$10</x:f>
        <x:v>2.292599369085173</x:v>
      </x:c>
      <x:c r="AC17" s="40" t="n">
        <x:f>T17*U17*V17</x:f>
        <x:v>0.2805</x:v>
      </x:c>
      <x:c r="AD17" s="40" t="n">
        <x:f>AB17+AC17</x:f>
        <x:v>2.573099369085173</x:v>
      </x:c>
      <x:c r="AE17" s="44" t="n">
        <x:f>RANK.EQ(AD17,$AD$6:$AD$18,0)</x:f>
        <x:v>12</x:v>
      </x:c>
      <x:c r="AF17" s="24" t="str">
        <x:v>Media</x:v>
      </x:c>
      <x:c r="AG17" s="24" t="str">
        <x:v>UCL fuerte según UEFA top scorer; rol Argentina por confirmar.</x:v>
      </x:c>
      <x:c r="AH17" s="46" t="str">
        <x:v>https://www.uefa.com/uefachampionsleague/top-scorer/</x:v>
      </x:c>
      <x:c r="AI17" s="46" t="str">
        <x:v>Supuestos editables en 02_Inputs / 03_Selecciones.</x:v>
      </x:c>
    </x:row>
    <x:row r="18">
      <x:c r="A18" s="24" t="str">
        <x:v>Viktor Gyökeres</x:v>
      </x:c>
      <x:c r="B18" s="24" t="str">
        <x:v>Sweden</x:v>
      </x:c>
      <x:c r="C18" s="24" t="str">
        <x:v>FW</x:v>
      </x:c>
      <x:c r="D18" s="24" t="str">
        <x:v>Arsenal</x:v>
      </x:c>
      <x:c r="E18" s="24" t="str">
        <x:v>Premier League</x:v>
      </x:c>
      <x:c r="F18" s="46" t="str">
        <x:v>https://fdp.fifa.org/assetspublic/ce281/pdf/SquadLists-English.pdf</x:v>
      </x:c>
      <x:c r="G18" s="46" t="str">
        <x:v>https://www.premierleague.com/en/players/105866/viktor-gyokeres/overview</x:v>
      </x:c>
      <x:c r="H18" s="40" t="n">
        <x:v>14</x:v>
      </x:c>
      <x:c r="I18" s="40" t="n">
        <x:v>36</x:v>
      </x:c>
      <x:c r="J18" s="40" t="n">
        <x:v>2230</x:v>
      </x:c>
      <x:c r="K18" s="40" t="n">
        <x:f>IFERROR(IF(J18&gt;0,H18/J18*90,IF(I18&gt;0,H18/I18,0)),0)</x:f>
        <x:v>0.5650224215246636</x:v>
      </x:c>
      <x:c r="L18" s="40"/>
      <x:c r="M18" s="40"/>
      <x:c r="N18" s="40"/>
      <x:c r="O18" s="40" t="n">
        <x:f>IFERROR(IF(N18&gt;0,L18/N18*90,IF(M18&gt;0,L18/M18,0)),0)</x:f>
        <x:v>0</x:v>
      </x:c>
      <x:c r="P18" s="40"/>
      <x:c r="Q18" s="40"/>
      <x:c r="R18" s="40"/>
      <x:c r="S18" s="40" t="n">
        <x:f>IFERROR(Q18/R18,0)</x:f>
        <x:v>0</x:v>
      </x:c>
      <x:c r="T18" s="48" t="n">
        <x:v>0.65</x:v>
      </x:c>
      <x:c r="U18" s="48" t="n">
        <x:v>0.83</x:v>
      </x:c>
      <x:c r="V18" s="48" t="n">
        <x:v>0.45</x:v>
      </x:c>
      <x:c r="W18" s="49" t="n">
        <x:f>IFERROR(VLOOKUP(B18,'03_Selecciones'!$A$6:$I$13,5,FALSE),0)</x:f>
        <x:v>4.3</x:v>
      </x:c>
      <x:c r="X18" s="49" t="n">
        <x:v>82</x:v>
      </x:c>
      <x:c r="Y18" s="40" t="n">
        <x:f>IFERROR(VLOOKUP(B18,'03_Selecciones'!$A$6:$I$13,6,FALSE),1)</x:f>
        <x:v>1.05</x:v>
      </x:c>
      <x:c r="Z18" s="40" t="n">
        <x:f>IFERROR(VLOOKUP(B18,'03_Selecciones'!$A$6:$I$13,7,FALSE),1)</x:f>
        <x:v>0.96</x:v>
      </x:c>
      <x:c r="AA18" s="40" t="n">
        <x:f>IFERROR((K18*'02_Inputs'!$B$6+O18*'02_Inputs'!$B$7+P18*'02_Inputs'!$B$8+S18*'02_Inputs'!$B$9)/(IF(K18&gt;0,'02_Inputs'!$B$6,0)+IF(O18&gt;0,'02_Inputs'!$B$7,0)+IF(P18&gt;0,'02_Inputs'!$B$8,0)+IF(S18&gt;0,'02_Inputs'!$B$9,0)),0)</x:f>
        <x:v>0.5650224215246636</x:v>
      </x:c>
      <x:c r="AB18" s="40" t="n">
        <x:f>AA18*(W18*X18/90)*Y18*Z18*'02_Inputs'!$B$10</x:f>
        <x:v>2.2313413452914794</x:v>
      </x:c>
      <x:c r="AC18" s="40" t="n">
        <x:f>T18*U18*V18</x:f>
        <x:v>0.242775</x:v>
      </x:c>
      <x:c r="AD18" s="40" t="n">
        <x:f>AB18+AC18</x:f>
        <x:v>2.4741163452914794</x:v>
      </x:c>
      <x:c r="AE18" s="44" t="n">
        <x:f>RANK.EQ(AD18,$AD$6:$AD$18,0)</x:f>
        <x:v>13</x:v>
      </x:c>
      <x:c r="AF18" s="24" t="str">
        <x:v>Media</x:v>
      </x:c>
      <x:c r="AG18" s="24" t="str">
        <x:v>Alta dependencia del avance de Suecia.</x:v>
      </x:c>
      <x:c r="AH18" s="46" t="str">
        <x:v>https://www.fotmob.com/players/747268/viktor-gyokeres</x:v>
      </x:c>
      <x:c r="AI18" s="46" t="str">
        <x:v>Supuestos editables en 02_Inputs / 03_Selecciones.</x:v>
      </x:c>
    </x:row>
  </x:sheetData>
  <x:mergeCells>
    <x:mergeCell ref="A1:AI1"/>
    <x:mergeCell ref="A2:AI3"/>
  </x:mergeCells>
  <x:conditionalFormatting sqref="AD6:AD18">
    <x:cfRule type="dataBar" priority="1">
      <x:dataBar>
        <x:cfvo type="min"/>
        <x:cfvo type="max"/>
        <x:color rgb="1F4E78"/>
      </x:dataBar>
      <x:extLst>
        <x:ext xmlns:x14="http://schemas.microsoft.com/office/spreadsheetml/2009/9/main" uri="{B025F937-C7B1-47D3-B67F-A62EFF666E3E}">
          <x14:id>{EFA45368-27C9-7E33-F016-8D07FF37DADB}</x14:id>
        </x:ext>
      </x:extLst>
    </x:cfRule>
  </x:conditionalFormatting>
  <x:conditionalFormatting sqref="AE6:AE18">
    <x:cfRule type="cellIs" dxfId="0" priority="2" operator="lessThanOr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a72f4b0aa740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A45368-27C9-7E33-F016-8D07FF37DADB}">
            <x14:dataBar gradient="1">
              <x14:cfvo type="min"/>
              <x14:cfvo type="max"/>
              <x14:fillColor rgb="1F4E78"/>
            </x14:dataBar>
          </x14:cfRule>
          <xm:sqref>AD6:AD18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5" hidden="0" customWidth="1"/>
    <x:col min="4" max="4" width="55" hidden="0" customWidth="1"/>
  </x:cols>
  <x:sheetData>
    <x:row r="1" ht="24" customHeight="1">
      <x:c r="A1" s="5" t="str">
        <x:v>Fuentes verificables usadas / recomendadas</x:v>
      </x:c>
    </x:row>
    <x:row r="3">
      <x:c r="A3" s="18" t="str">
        <x:v>Organización</x:v>
      </x:c>
      <x:c r="B3" s="18" t="str">
        <x:v>Dato</x:v>
      </x:c>
      <x:c r="C3" s="18" t="str">
        <x:v>URL</x:v>
      </x:c>
      <x:c r="D3" s="18" t="str">
        <x:v>Uso en el modelo</x:v>
      </x:c>
    </x:row>
    <x:row r="4">
      <x:c r="A4" s="24" t="str">
        <x:v>FIFA</x:v>
      </x:c>
      <x:c r="B4" s="24" t="str">
        <x:v>Calendario Mundial 2026</x:v>
      </x:c>
      <x:c r="C4" s="24" t="str">
        <x:v>https://www.fifa.com/en/tournaments/mens/worldcup/canadamexicousa2026/articles/match-schedule-fixtures-results-teams-stadiums</x:v>
      </x:c>
      <x:c r="D4" s="24" t="str">
        <x:v>104 partidos / calendario oficial / fixtures.</x:v>
      </x:c>
    </x:row>
    <x:row r="5">
      <x:c r="A5" s="24" t="str">
        <x:v>FIFA</x:v>
      </x:c>
      <x:c r="B5" s="24" t="str">
        <x:v>Formato Mundial 2026</x:v>
      </x:c>
      <x:c r="C5" s="24" t="str">
        <x:v>https://www.fifa.com/en/articles/article-fifa-world-cup-2026-mexico-canada-usa-new-format-tournament-football-soccer</x:v>
      </x:c>
      <x:c r="D5" s="24" t="str">
        <x:v>48 equipos, 104 partidos y ronda adicional de eliminación.</x:v>
      </x:c>
    </x:row>
    <x:row r="6">
      <x:c r="A6" s="24" t="str">
        <x:v>FIFA</x:v>
      </x:c>
      <x:c r="B6" s="24" t="str">
        <x:v>Grupos y clasificación a eliminatorias</x:v>
      </x:c>
      <x:c r="C6" s="24" t="str">
        <x:v>https://www.fifa.com/en/tournaments/mens/worldcup/canadamexicousa2026/articles/groups-how-teams-qualify-tie-breakers</x:v>
      </x:c>
      <x:c r="D6" s="24" t="str">
        <x:v>12 grupos de 4; pasan dos primeros y ocho mejores terceros.</x:v>
      </x:c>
    </x:row>
    <x:row r="7">
      <x:c r="A7" s="24" t="str">
        <x:v>FIFA</x:v>
      </x:c>
      <x:c r="B7" s="24" t="str">
        <x:v>Lista oficial de plantillas</x:v>
      </x:c>
      <x:c r="C7" s="24" t="str">
        <x:v>https://fdp.fifa.org/assetspublic/ce281/pdf/SquadLists-English.pdf</x:v>
      </x:c>
      <x:c r="D7" s="24" t="str">
        <x:v>Squad list oficial, versión 9-jun-2026.</x:v>
      </x:c>
    </x:row>
    <x:row r="8">
      <x:c r="A8" s="24" t="str">
        <x:v>FIFA</x:v>
      </x:c>
      <x:c r="B8" s="24" t="str">
        <x:v>Reglamento / Bota de Oro</x:v>
      </x:c>
      <x:c r="C8" s="24" t="str">
        <x:v>https://digitalhub.fifa.com/m/3c932b4d143867b2/original/FIFA-World-Cup-2026-Regulations_EN.pdf</x:v>
      </x:c>
      <x:c r="D8" s="24" t="str">
        <x:v>Criterio: goles; desempate asistencias; luego menos minutos.</x:v>
      </x:c>
    </x:row>
    <x:row r="9">
      <x:c r="A9" s="24" t="str">
        <x:v>FIFA</x:v>
      </x:c>
      <x:c r="B9" s="24" t="str">
        <x:v>Ranking FIFA masculino</x:v>
      </x:c>
      <x:c r="C9" s="24" t="str">
        <x:v>https://inside.fifa.com/fifa-world-ranking/men</x:v>
      </x:c>
      <x:c r="D9" s="24" t="str">
        <x:v>Fuente para fuerza relativa de selecciones.</x:v>
      </x:c>
    </x:row>
    <x:row r="10">
      <x:c r="A10" s="24" t="str">
        <x:v>Bundesliga</x:v>
      </x:c>
      <x:c r="B10" s="24" t="str">
        <x:v>Harry Kane stats 2025/26</x:v>
      </x:c>
      <x:c r="C10" s="24" t="str">
        <x:v>https://www.bundesliga.com/en/player/harry-kane</x:v>
      </x:c>
      <x:c r="D10" s="24" t="str">
        <x:v>Goles, asistencias, penales, apariciones.</x:v>
      </x:c>
    </x:row>
    <x:row r="11">
      <x:c r="A11" s="24" t="str">
        <x:v>Premier League</x:v>
      </x:c>
      <x:c r="B11" s="24" t="str">
        <x:v>Haaland Golden Boot 2025/26</x:v>
      </x:c>
      <x:c r="C11" s="24" t="str">
        <x:v>https://www.premierleague.com/en/news/4591856/haaland-wins-202526-premier-league-golden-boot-award</x:v>
      </x:c>
      <x:c r="D11" s="24" t="str">
        <x:v>27 goles Premier League.</x:v>
      </x:c>
    </x:row>
    <x:row r="12">
      <x:c r="A12" s="24" t="str">
        <x:v>Premier League</x:v>
      </x:c>
      <x:c r="B12" s="24" t="str">
        <x:v>Erling Haaland profile</x:v>
      </x:c>
      <x:c r="C12" s="24" t="str">
        <x:v>https://www.premierleague.com/en/players/223094/erling-haaland/overview</x:v>
      </x:c>
      <x:c r="D12" s="24" t="str">
        <x:v>Perfil oficial PL para contrastar jugador.</x:v>
      </x:c>
    </x:row>
    <x:row r="13">
      <x:c r="A13" s="24" t="str">
        <x:v>LaLiga</x:v>
      </x:c>
      <x:c r="B13" s="24" t="str">
        <x:v>Goleadores LaLiga 2025/26</x:v>
      </x:c>
      <x:c r="C13" s="24" t="str">
        <x:v>https://www.laliga.com/en-GB/stats/laliga-easports/scorers</x:v>
      </x:c>
      <x:c r="D13" s="24" t="str">
        <x:v>Goles y apariciones de Mbappé, Lamine, Vinícius, Oyarzabal, etc.</x:v>
      </x:c>
    </x:row>
    <x:row r="14">
      <x:c r="A14" s="24" t="str">
        <x:v>UEFA</x:v>
      </x:c>
      <x:c r="B14" s="24" t="str">
        <x:v>Mbappé Champions League 2025/26</x:v>
      </x:c>
      <x:c r="C14" s="24" t="str">
        <x:v>https://www.uefa.com/uefachampionsleague/clubs/players/250076574--kylian-mbappe/</x:v>
      </x:c>
      <x:c r="D14" s="24" t="str">
        <x:v>11 partidos, 912 minutos, 15 goles.</x:v>
      </x:c>
    </x:row>
    <x:row r="15">
      <x:c r="A15" s="24" t="str">
        <x:v>UEFA</x:v>
      </x:c>
      <x:c r="B15" s="24" t="str">
        <x:v>Champions League top scorers 2025/26</x:v>
      </x:c>
      <x:c r="C15" s="24" t="str">
        <x:v>https://www.uefa.com/uefachampionsleague/top-scorer/</x:v>
      </x:c>
      <x:c r="D15" s="24" t="str">
        <x:v>Ranking goleadores UCL; Mbappé 15, Kane 14, Haaland 8, Julián 10.</x:v>
      </x:c>
    </x:row>
    <x:row r="16">
      <x:c r="A16" s="24" t="str">
        <x:v>Saudi Pro League</x:v>
      </x:c>
      <x:c r="B16" s="24" t="str">
        <x:v>Cristiano Ronaldo 2025/26</x:v>
      </x:c>
      <x:c r="C16" s="24" t="str">
        <x:v>https://www.spl.com.sa/en/players/80466/cristiano-ronaldo</x:v>
      </x:c>
      <x:c r="D16" s="24" t="str">
        <x:v>Goles, apariciones y asistencias SPL.</x:v>
      </x:c>
    </x:row>
    <x:row r="17">
      <x:c r="A17" s="24" t="str">
        <x:v>Inter Miami / MLS</x:v>
      </x:c>
      <x:c r="B17" s="24" t="str">
        <x:v>Lionel Messi stats</x:v>
      </x:c>
      <x:c r="C17" s="24" t="str">
        <x:v>https://www.intermiamicf.com/players/lionel-messi/stats/</x:v>
      </x:c>
      <x:c r="D17" s="24" t="str">
        <x:v>Apariciones, minutos, goles y asistencias MLS 2026.</x:v>
      </x:c>
    </x:row>
    <x:row r="18">
      <x:c r="A18" s="24" t="str">
        <x:v>Inter</x:v>
      </x:c>
      <x:c r="B18" s="24" t="str">
        <x:v>Lautaro Martínez 2025/26</x:v>
      </x:c>
      <x:c r="C18" s="24" t="str">
        <x:v>https://www.inter.it/en/news/lautaro-martinez-serie-a-best-striker-2025-26</x:v>
      </x:c>
      <x:c r="D18" s="24" t="str">
        <x:v>17 goles en 30 apariciones, premio Best Striker.</x:v>
      </x:c>
    </x:row>
    <x:row r="19">
      <x:c r="A19" s="24" t="str">
        <x:v>FotMob</x:v>
      </x:c>
      <x:c r="B19" s="24" t="str">
        <x:v>Julián Álvarez 2025/26</x:v>
      </x:c>
      <x:c r="C19" s="24" t="str">
        <x:v>https://www.fotmob.com/players/846303/julian-alvarez</x:v>
      </x:c>
      <x:c r="D19" s="24" t="str">
        <x:v>Minutos y goles cuando fuente oficial agregada no está disponible.</x:v>
      </x:c>
    </x:row>
    <x:row r="20">
      <x:c r="A20" s="24" t="str">
        <x:v>FotMob</x:v>
      </x:c>
      <x:c r="B20" s="24" t="str">
        <x:v>Viktor Gyökeres 2025/26</x:v>
      </x:c>
      <x:c r="C20" s="24" t="str">
        <x:v>https://www.fotmob.com/players/747268/viktor-gyokeres</x:v>
      </x:c>
      <x:c r="D20" s="24" t="str">
        <x:v>Minutos y goles cuando fuente oficial agregada no está disponible.</x:v>
      </x:c>
    </x:row>
    <x:row r="21">
      <x:c r="A21" s="24" t="str">
        <x:v>Transfermarkt</x:v>
      </x:c>
      <x:c r="B21" s="24" t="str">
        <x:v>Valores de mercado</x:v>
      </x:c>
      <x:c r="C21" s="24" t="str">
        <x:v>https://www.transfermarkt.com/</x:v>
      </x:c>
      <x:c r="D21" s="24" t="str">
        <x:v>Usar solo como proxy auxiliar, no como predictor principal.</x:v>
      </x:c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  <x:row r="91">
      <x:c r="A91" s="24"/>
      <x:c r="B91" s="24"/>
      <x:c r="C91" s="24"/>
      <x:c r="D91" s="24"/>
    </x:row>
    <x:row r="92">
      <x:c r="A92" s="24"/>
      <x:c r="B92" s="24"/>
      <x:c r="C92" s="24"/>
      <x:c r="D92" s="24"/>
    </x:row>
    <x:row r="93">
      <x:c r="A93" s="24"/>
      <x:c r="B93" s="24"/>
      <x:c r="C93" s="24"/>
      <x:c r="D93" s="24"/>
    </x:row>
    <x:row r="94">
      <x:c r="A94" s="24"/>
      <x:c r="B94" s="24"/>
      <x:c r="C94" s="24"/>
      <x:c r="D94" s="24"/>
    </x:row>
    <x:row r="95">
      <x:c r="A95" s="24"/>
      <x:c r="B95" s="24"/>
      <x:c r="C95" s="24"/>
      <x:c r="D95" s="24"/>
    </x:row>
    <x:row r="96">
      <x:c r="A96" s="24"/>
      <x:c r="B96" s="24"/>
      <x:c r="C96" s="24"/>
      <x:c r="D96" s="24"/>
    </x:row>
    <x:row r="97">
      <x:c r="A97" s="24"/>
      <x:c r="B97" s="24"/>
      <x:c r="C97" s="24"/>
      <x:c r="D97" s="24"/>
    </x:row>
    <x:row r="98">
      <x:c r="A98" s="24"/>
      <x:c r="B98" s="24"/>
      <x:c r="C98" s="24"/>
      <x:c r="D98" s="24"/>
    </x:row>
    <x:row r="99">
      <x:c r="A99" s="24"/>
      <x:c r="B99" s="24"/>
      <x:c r="C99" s="24"/>
      <x:c r="D99" s="24"/>
    </x:row>
    <x:row r="100">
      <x:c r="A100" s="24"/>
      <x:c r="B100" s="24"/>
      <x:c r="C100" s="24"/>
      <x:c r="D100" s="24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5df17df02e749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0" hidden="0" customWidth="1"/>
    <x:col min="4" max="4" width="50" hidden="0" customWidth="1"/>
  </x:cols>
  <x:sheetData>
    <x:row r="1" ht="24" customHeight="1">
      <x:c r="A1" s="5" t="str">
        <x:v>Diccionario de variables</x:v>
      </x:c>
    </x:row>
    <x:row r="3">
      <x:c r="A3" s="18" t="str">
        <x:v>Campo</x:v>
      </x:c>
      <x:c r="B3" s="18" t="str">
        <x:v>Tipo</x:v>
      </x:c>
      <x:c r="C3" s="18" t="str">
        <x:v>Definición</x:v>
      </x:c>
      <x:c r="D3" s="18" t="str">
        <x:v>Comentario de uso</x:v>
      </x:c>
    </x:row>
    <x:row r="4">
      <x:c r="A4" s="24" t="str">
        <x:v>Goles liga / 90</x:v>
      </x:c>
      <x:c r="B4" s="24" t="str">
        <x:v>fórmula</x:v>
      </x:c>
      <x:c r="C4" s="24" t="str">
        <x:v>Goles de liga divididos entre minutos de liga × 90; si no hay minutos, usa goles/partidos.</x:v>
      </x:c>
      <x:c r="D4" s="24" t="str">
        <x:v>Menos robusto si no hay minutos.</x:v>
      </x:c>
    </x:row>
    <x:row r="5">
      <x:c r="A5" s="24" t="str">
        <x:v>Goles cont. / 90</x:v>
      </x:c>
      <x:c r="B5" s="24" t="str">
        <x:v>fórmula</x:v>
      </x:c>
      <x:c r="C5" s="24" t="str">
        <x:v>Goles continentales por 90; si no hay minutos, usa goles/partidos.</x:v>
      </x:c>
      <x:c r="D5" s="24" t="str">
        <x:v>Útil para jugadores Champions.</x:v>
      </x:c>
    </x:row>
    <x:row r="6">
      <x:c r="A6" s="24" t="str">
        <x:v>xG/npxG por 90</x:v>
      </x:c>
      <x:c r="B6" s="24" t="str">
        <x:v>input</x:v>
      </x:c>
      <x:c r="C6" s="24" t="str">
        <x:v>Expected goals o non-penalty expected goals por 90.</x:v>
      </x:c>
      <x:c r="D6" s="24" t="str">
        <x:v>Idealmente FBref/StatsBomb/Opta/Wyscout.</x:v>
      </x:c>
    </x:row>
    <x:row r="7">
      <x:c r="A7" s="24" t="str">
        <x:v>Goles sel. / partido</x:v>
      </x:c>
      <x:c r="B7" s="24" t="str">
        <x:v>fórmula</x:v>
      </x:c>
      <x:c r="C7" s="24" t="str">
        <x:v>Goles recientes con selección / partidos recientes.</x:v>
      </x:c>
      <x:c r="D7" s="24" t="str">
        <x:v>Debe alimentarse con ventana definida.</x:v>
      </x:c>
    </x:row>
    <x:row r="8">
      <x:c r="A8" s="24" t="str">
        <x:v>Confianza rol penales</x:v>
      </x:c>
      <x:c r="B8" s="24" t="str">
        <x:v>input</x:v>
      </x:c>
      <x:c r="C8" s="24" t="str">
        <x:v>Probabilidad subjetiva de que el jugador cobre penales.</x:v>
      </x:c>
      <x:c r="D8" s="24" t="str">
        <x:v>0 = nunca; 1 = cobrador seguro.</x:v>
      </x:c>
    </x:row>
    <x:row r="9">
      <x:c r="A9" s="24" t="str">
        <x:v>Penales equipo esperados</x:v>
      </x:c>
      <x:c r="B9" s="24" t="str">
        <x:v>input</x:v>
      </x:c>
      <x:c r="C9" s="24" t="str">
        <x:v>Penales esperados de la selección en el torneo.</x:v>
      </x:c>
      <x:c r="D9" s="24" t="str">
        <x:v>Supuesto; dependerá de partidos jugados.</x:v>
      </x:c>
    </x:row>
    <x:row r="10">
      <x:c r="A10" s="24" t="str">
        <x:v>Partidos esperados equipo</x:v>
      </x:c>
      <x:c r="B10" s="24" t="str">
        <x:v>input selección</x:v>
      </x:c>
      <x:c r="C10" s="24" t="str">
        <x:v>Número esperado de partidos que jugará la selección.</x:v>
      </x:c>
      <x:c r="D10" s="24" t="str">
        <x:v>Es el driver más importante junto a minutos.</x:v>
      </x:c>
    </x:row>
    <x:row r="11">
      <x:c r="A11" s="24" t="str">
        <x:v>Ajuste ataque equipo</x:v>
      </x:c>
      <x:c r="B11" s="24" t="str">
        <x:v>input selección</x:v>
      </x:c>
      <x:c r="C11" s="24" t="str">
        <x:v>Multiplicador por potencia ofensiva de la selección.</x:v>
      </x:c>
      <x:c r="D11" s="24" t="str">
        <x:v>1.00 neutral; &gt;1 más ofensivo.</x:v>
      </x:c>
    </x:row>
    <x:row r="12">
      <x:c r="A12" s="24" t="str">
        <x:v>Ajuste grupo</x:v>
      </x:c>
      <x:c r="B12" s="24" t="str">
        <x:v>input selección</x:v>
      </x:c>
      <x:c r="C12" s="24" t="str">
        <x:v>Multiplicador por dificultad/oportunidad del grupo.</x:v>
      </x:c>
      <x:c r="D12" s="24" t="str">
        <x:v>1.00 neutral; &gt;1 más favorable.</x:v>
      </x:c>
    </x:row>
    <x:row r="13">
      <x:c r="A13" s="24" t="str">
        <x:v>EG total</x:v>
      </x:c>
      <x:c r="B13" s="24" t="str">
        <x:v>fórmula</x:v>
      </x:c>
      <x:c r="C13" s="24" t="str">
        <x:v>Goles esperados determinísticos del jugador.</x:v>
      </x:c>
      <x:c r="D13" s="24" t="str">
        <x:v>No equivale a probabilidad de Bota de Oro.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24"/>
      <x:c r="B21" s="24"/>
      <x:c r="C21" s="24"/>
      <x:c r="D21" s="24"/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  <x:row r="91">
      <x:c r="A91" s="24"/>
      <x:c r="B91" s="24"/>
      <x:c r="C91" s="24"/>
      <x:c r="D91" s="24"/>
    </x:row>
    <x:row r="92">
      <x:c r="A92" s="24"/>
      <x:c r="B92" s="24"/>
      <x:c r="C92" s="24"/>
      <x:c r="D92" s="24"/>
    </x:row>
    <x:row r="93">
      <x:c r="A93" s="24"/>
      <x:c r="B93" s="24"/>
      <x:c r="C93" s="24"/>
      <x:c r="D93" s="24"/>
    </x:row>
    <x:row r="94">
      <x:c r="A94" s="24"/>
      <x:c r="B94" s="24"/>
      <x:c r="C94" s="24"/>
      <x:c r="D94" s="24"/>
    </x:row>
    <x:row r="95">
      <x:c r="A95" s="24"/>
      <x:c r="B95" s="24"/>
      <x:c r="C95" s="24"/>
      <x:c r="D95" s="24"/>
    </x:row>
    <x:row r="96">
      <x:c r="A96" s="24"/>
      <x:c r="B96" s="24"/>
      <x:c r="C96" s="24"/>
      <x:c r="D96" s="24"/>
    </x:row>
    <x:row r="97">
      <x:c r="A97" s="24"/>
      <x:c r="B97" s="24"/>
      <x:c r="C97" s="24"/>
      <x:c r="D97" s="24"/>
    </x:row>
    <x:row r="98">
      <x:c r="A98" s="24"/>
      <x:c r="B98" s="24"/>
      <x:c r="C98" s="24"/>
      <x:c r="D98" s="24"/>
    </x:row>
    <x:row r="99">
      <x:c r="A99" s="24"/>
      <x:c r="B99" s="24"/>
      <x:c r="C99" s="24"/>
      <x:c r="D99" s="24"/>
    </x:row>
    <x:row r="100">
      <x:c r="A100" s="24"/>
      <x:c r="B100" s="24"/>
      <x:c r="C100" s="24"/>
      <x:c r="D100" s="24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47d090d750645f8"/>
  </x:tableParts>
</x:worksheet>
</file>